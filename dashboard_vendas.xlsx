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DIO\7 - Excel\"/>
    </mc:Choice>
  </mc:AlternateContent>
  <xr:revisionPtr revIDLastSave="0" documentId="13_ncr:1_{1EFA708E-FEF2-4C95-84D8-B788D0FB147A}" xr6:coauthVersionLast="47" xr6:coauthVersionMax="47" xr10:uidLastSave="{00000000-0000-0000-0000-000000000000}"/>
  <bookViews>
    <workbookView xWindow="-120" yWindow="-120" windowWidth="29040" windowHeight="1572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3" l="1"/>
  <c r="F24" i="3"/>
</calcChain>
</file>

<file path=xl/sharedStrings.xml><?xml version="1.0" encoding="utf-8"?>
<sst xmlns="http://schemas.openxmlformats.org/spreadsheetml/2006/main" count="2051" uniqueCount="343">
  <si>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</si>
  <si>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</si>
  <si>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</si>
  <si>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</si>
  <si>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</si>
  <si>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</si>
  <si>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</si>
  <si>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</si>
  <si>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</si>
  <si>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</si>
  <si>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</si>
  <si>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</si>
  <si>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</si>
  <si>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</si>
  <si>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</si>
  <si>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</si>
  <si>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</si>
  <si>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</si>
  <si>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</si>
  <si>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</si>
  <si>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</si>
  <si>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</si>
  <si>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</si>
  <si>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</si>
  <si>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</si>
  <si>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</si>
  <si>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</si>
  <si>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</si>
  <si>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</si>
  <si>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</si>
  <si>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</si>
  <si>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</si>
  <si>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</si>
  <si>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</si>
  <si>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</si>
  <si>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</si>
  <si>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</si>
  <si>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</si>
  <si>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</si>
  <si>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</si>
  <si>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</si>
  <si>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</si>
  <si>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</si>
  <si>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</si>
  <si>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</si>
  <si>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</si>
  <si>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</si>
  <si>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</si>
  <si>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</si>
  <si>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</si>
  <si>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</si>
  <si>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</si>
  <si>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</si>
  <si>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</si>
  <si>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</si>
  <si>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</si>
  <si>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</si>
  <si>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</si>
  <si>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</si>
  <si>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</si>
  <si>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</si>
  <si>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</si>
  <si>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</si>
  <si>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</si>
  <si>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</si>
  <si>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</si>
  <si>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</si>
  <si>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</si>
  <si>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</si>
  <si>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</si>
  <si>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</si>
  <si>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</si>
  <si>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</si>
  <si>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</si>
  <si>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</si>
  <si>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</si>
  <si>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</si>
  <si>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</si>
  <si>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</si>
  <si>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</si>
  <si>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</si>
  <si>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</si>
  <si>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</si>
  <si>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</si>
  <si>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</si>
  <si>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</si>
  <si>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</si>
  <si>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</si>
  <si>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</si>
  <si>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</si>
  <si>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</si>
  <si>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</si>
  <si>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</si>
  <si>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</si>
  <si>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</si>
  <si>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</si>
  <si>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</si>
  <si>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</si>
  <si>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</si>
  <si>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</si>
  <si>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</si>
  <si>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</si>
  <si>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</si>
  <si>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</si>
  <si>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</si>
  <si>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</si>
  <si>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</si>
  <si>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</si>
  <si>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</si>
  <si>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</si>
  <si>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</si>
  <si>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</si>
  <si>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</si>
  <si>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</si>
  <si>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</si>
  <si>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</si>
  <si>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</si>
  <si>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</si>
  <si>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</si>
  <si>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</si>
  <si>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</si>
  <si>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</si>
  <si>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</si>
  <si>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</si>
  <si>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</si>
  <si>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</si>
  <si>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</si>
  <si>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</si>
  <si>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</si>
  <si>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</si>
  <si>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</si>
  <si>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</si>
  <si>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</si>
  <si>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</si>
  <si>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</si>
  <si>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</si>
  <si>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</si>
  <si>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</si>
  <si>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</si>
  <si>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</si>
  <si>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</si>
  <si>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</si>
  <si>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</si>
  <si>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</si>
  <si>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</si>
  <si>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</si>
  <si>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</si>
  <si>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</si>
  <si>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</si>
  <si>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</si>
  <si>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</si>
  <si>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</si>
  <si>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</si>
  <si>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</si>
  <si>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</si>
  <si>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</si>
  <si>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</si>
  <si>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</si>
  <si>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</si>
  <si>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</si>
  <si>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</si>
  <si>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</si>
  <si>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</si>
  <si>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</si>
  <si>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</si>
  <si>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</si>
  <si>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</si>
  <si>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</si>
  <si>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</si>
  <si>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</si>
  <si>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</si>
  <si>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</si>
  <si>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</si>
  <si>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</si>
  <si>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</si>
  <si>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</si>
  <si>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</si>
  <si>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</si>
  <si>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</si>
  <si>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</si>
  <si>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</si>
  <si>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</si>
  <si>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</si>
  <si>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</si>
  <si>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</si>
  <si>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</si>
  <si>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</si>
  <si>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</si>
  <si>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</si>
  <si>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</si>
  <si>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</si>
  <si>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</si>
  <si>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</si>
  <si>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</si>
  <si>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</si>
  <si>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</si>
  <si>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</si>
  <si>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</si>
  <si>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</si>
  <si>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</si>
  <si>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</si>
  <si>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</si>
  <si>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</si>
  <si>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</si>
  <si>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</si>
  <si>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</si>
  <si>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</si>
  <si>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</si>
  <si>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</si>
  <si>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</si>
  <si>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</si>
  <si>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</si>
  <si>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</si>
  <si>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</si>
  <si>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</si>
  <si>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</si>
  <si>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</si>
  <si>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</si>
  <si>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</si>
  <si>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</si>
  <si>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</si>
  <si>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</si>
  <si>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</si>
  <si>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</si>
  <si>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</si>
  <si>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</si>
  <si>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</si>
  <si>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</si>
  <si>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</si>
  <si>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</si>
  <si>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</si>
  <si>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</si>
  <si>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</si>
  <si>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</si>
  <si>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</si>
  <si>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</si>
  <si>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</si>
  <si>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</si>
  <si>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</si>
  <si>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</si>
  <si>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</si>
  <si>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</si>
  <si>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</si>
  <si>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</si>
  <si>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</si>
  <si>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</si>
  <si>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</si>
  <si>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</si>
  <si>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</si>
  <si>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</si>
  <si>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</si>
  <si>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</si>
  <si>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</si>
  <si>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</si>
  <si>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</si>
  <si>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</si>
  <si>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</si>
  <si>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</si>
  <si>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</si>
  <si>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</si>
  <si>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</si>
  <si>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</si>
  <si>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</si>
  <si>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</si>
  <si>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</si>
  <si>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</si>
  <si>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</si>
  <si>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</si>
  <si>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</si>
  <si>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</si>
  <si>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</si>
  <si>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</si>
  <si>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</si>
  <si>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</si>
  <si>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</si>
  <si>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</si>
  <si>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</si>
  <si>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</si>
  <si>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</si>
  <si>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</si>
  <si>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</si>
  <si>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</si>
  <si>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</si>
  <si>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</si>
  <si>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</si>
  <si>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</si>
  <si>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</si>
  <si>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</si>
  <si>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</si>
  <si>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</si>
  <si>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</si>
  <si>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</si>
  <si>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</si>
  <si>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</si>
  <si>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</si>
  <si>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</si>
  <si>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</si>
  <si>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</si>
  <si>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</si>
  <si>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</si>
  <si>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</si>
  <si>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</si>
  <si>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</si>
  <si>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</si>
  <si>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</si>
  <si>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</si>
  <si>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</si>
  <si>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</si>
  <si>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</si>
  <si>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</si>
  <si>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</si>
  <si>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</si>
  <si>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</si>
  <si>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Perguntas de Negócio</t>
  </si>
  <si>
    <r>
      <t xml:space="preserve">1.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agregadas)?</t>
    </r>
  </si>
  <si>
    <t>Soma de Total Value</t>
  </si>
  <si>
    <t>Rótulos de Linha</t>
  </si>
  <si>
    <t>Total Geral</t>
  </si>
  <si>
    <r>
      <t xml:space="preserve">2.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planos anuais, </t>
    </r>
    <r>
      <rPr>
        <sz val="11"/>
        <color theme="1"/>
        <rFont val="Aptos Narrow"/>
        <family val="2"/>
        <scheme val="minor"/>
      </rPr>
      <t>separado por auto renovação ou não é  por auto renovação?</t>
    </r>
  </si>
  <si>
    <t>XBOX GAME PASS SUBSCRIPTIONS SALES</t>
  </si>
  <si>
    <t>3. Total de vendas de assinaturas do EA Play</t>
  </si>
  <si>
    <t>Soma de EA Play Season Pass</t>
  </si>
  <si>
    <t>(Tudo)</t>
  </si>
  <si>
    <t>4. Total de vendas de assinaturas do Minecraft Season Pass</t>
  </si>
  <si>
    <t>Soma de Minecraft Season Pass Price</t>
  </si>
  <si>
    <t>5. Quantidade de assinaturas realizadas a cada mês</t>
  </si>
  <si>
    <t>Contagem de Start Date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</si>
  <si>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</si>
  <si>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</si>
  <si>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</si>
  <si>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</si>
  <si>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</si>
  <si>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</si>
  <si>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</si>
  <si>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</si>
  <si>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</si>
  <si>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</si>
  <si>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</si>
  <si>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</si>
  <si>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6. Cupons de Desconto por Plano</t>
  </si>
  <si>
    <t>Soma de Coupon Value</t>
  </si>
  <si>
    <t>7. Quantidade de Assinaturas com e sem auto-renovação</t>
  </si>
  <si>
    <t>Contagem de Auto Renewal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</si>
</sst>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5"/>
      <name val="Segoe UI"/>
      <family val="2"/>
    </font>
    <font>
      <sz val="1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9" tint="-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4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 applyNumberFormat="1"/>
    <xf numFmtId="44" fontId="0" fillId="0" borderId="0" xfId="2" applyFont="1"/>
    <xf numFmtId="0" fontId="0" fillId="8" borderId="0" xfId="0" applyFill="1"/>
    <xf numFmtId="0" fontId="5" fillId="0" borderId="2" xfId="1" applyFont="1" applyBorder="1" applyAlignment="1">
      <alignment horizontal="left"/>
    </xf>
    <xf numFmtId="0" fontId="5" fillId="0" borderId="2" xfId="1" applyFont="1" applyBorder="1"/>
    <xf numFmtId="0" fontId="6" fillId="0" borderId="2" xfId="0" applyFont="1" applyBorder="1"/>
  </cellXfs>
  <cellStyles count="3">
    <cellStyle name="Moeda" xfId="2" builtinId="4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theme="9" tint="-0.24994659260841701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D03B8D0E-0D4A-4322-8218-BEEDE7CBE4CE}">
      <tableStyleElement type="wholeTable" dxfId="1"/>
      <tableStyleElement type="headerRow" dxfId="0"/>
    </tableStyle>
  </tableStyles>
  <colors>
    <mruColors>
      <color rgb="FF000000"/>
      <color rgb="FF22C55E"/>
      <color rgb="FF2AE6B1"/>
      <color rgb="FF34B465"/>
      <color rgb="FF5BF6A8"/>
      <color rgb="FFE8E6E9"/>
      <color rgb="FFE0E0E0"/>
      <color rgb="FFEDEDED"/>
      <color rgb="FFF7F8FC"/>
      <color rgb="FF9BC848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[dashboard_vendas.xlsx]C̳álculos!tbl_annual_total</c:name>
    <c:fmtId val="9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361970651088215"/>
          <c:y val="3.9653026649956197E-3"/>
          <c:w val="0.7316397469302115"/>
          <c:h val="0.912763341370096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C̳álculos!$B$10:$B$12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C̳álculos!$C$10:$C$12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C-45E8-B3DB-81A8C24CC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0965600"/>
        <c:axId val="990966080"/>
      </c:barChart>
      <c:catAx>
        <c:axId val="990965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0966080"/>
        <c:crosses val="autoZero"/>
        <c:auto val="1"/>
        <c:lblAlgn val="ctr"/>
        <c:lblOffset val="100"/>
        <c:noMultiLvlLbl val="0"/>
      </c:catAx>
      <c:valAx>
        <c:axId val="99096608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990965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[dashboard_vendas.xlsx]C̳álculos!Tabela dinâmica3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7777777777777776E-2"/>
          <c:y val="3.9454594596273873E-2"/>
          <c:w val="0.93888888888888888"/>
          <c:h val="0.831734697364619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C̳álculos!$C$41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C̳álculos!$B$42:$B$54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C̳álculos!$C$42:$C$54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31</c:v>
                </c:pt>
                <c:pt idx="3">
                  <c:v>30</c:v>
                </c:pt>
                <c:pt idx="4">
                  <c:v>31</c:v>
                </c:pt>
                <c:pt idx="5">
                  <c:v>30</c:v>
                </c:pt>
                <c:pt idx="6">
                  <c:v>31</c:v>
                </c:pt>
                <c:pt idx="7">
                  <c:v>31</c:v>
                </c:pt>
                <c:pt idx="8">
                  <c:v>30</c:v>
                </c:pt>
                <c:pt idx="9">
                  <c:v>31</c:v>
                </c:pt>
                <c:pt idx="10">
                  <c:v>30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0-4354-B9C1-C715B968D75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29184079"/>
        <c:axId val="529183599"/>
      </c:barChart>
      <c:catAx>
        <c:axId val="52918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9183599"/>
        <c:crosses val="autoZero"/>
        <c:auto val="1"/>
        <c:lblAlgn val="ctr"/>
        <c:lblOffset val="100"/>
        <c:noMultiLvlLbl val="0"/>
      </c:catAx>
      <c:valAx>
        <c:axId val="5291835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29184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[dashboard_vendas.xlsx]C̳álculos!Tabela dinâmica4</c:name>
    <c:fmtId val="2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195647419072615"/>
          <c:y val="0.12962962962962962"/>
          <c:w val="0.73193241469816273"/>
          <c:h val="0.7546296296296296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C̳álculos!$C$59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C̳álculos!$B$60:$B$63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C̳álculos!$C$60:$C$63</c:f>
              <c:numCache>
                <c:formatCode>_("R$"* #,##0.00_);_("R$"* \(#,##0.00\);_("R$"* "-"??_);_(@_)</c:formatCode>
                <c:ptCount val="3"/>
                <c:pt idx="0">
                  <c:v>61</c:v>
                </c:pt>
                <c:pt idx="1">
                  <c:v>1079</c:v>
                </c:pt>
                <c:pt idx="2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34-4A4F-A10B-85DE44BFC3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07474511"/>
        <c:axId val="407474991"/>
      </c:barChart>
      <c:catAx>
        <c:axId val="407474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7474991"/>
        <c:crosses val="autoZero"/>
        <c:auto val="1"/>
        <c:lblAlgn val="ctr"/>
        <c:lblOffset val="100"/>
        <c:noMultiLvlLbl val="0"/>
      </c:catAx>
      <c:valAx>
        <c:axId val="40747499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40747451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[dashboard_vendas.xlsx]C̳álculos!Tabela dinâmica5</c:name>
    <c:fmtId val="3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0000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6.2596907821707903E-2"/>
              <c:y val="-6.520903088597507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2480630109346106E-2"/>
              <c:y val="-5.9774254461522209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C̳álculos!$C$68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17-437F-ADCD-CE6EA5BA8BAB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17-437F-ADCD-CE6EA5BA8BAB}"/>
              </c:ext>
            </c:extLst>
          </c:dPt>
          <c:dLbls>
            <c:dLbl>
              <c:idx val="0"/>
              <c:layout>
                <c:manualLayout>
                  <c:x val="6.2596907821707903E-2"/>
                  <c:y val="-6.52090308859750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E17-437F-ADCD-CE6EA5BA8BAB}"/>
                </c:ext>
              </c:extLst>
            </c:dLbl>
            <c:dLbl>
              <c:idx val="1"/>
              <c:layout>
                <c:manualLayout>
                  <c:x val="-7.2480630109346106E-2"/>
                  <c:y val="-5.9774254461522209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E17-437F-ADCD-CE6EA5BA8B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C̳álculos!$B$69:$B$71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C̳álculos!$C$69:$C$71</c:f>
              <c:numCache>
                <c:formatCode>General</c:formatCode>
                <c:ptCount val="2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17-437F-ADCD-CE6EA5BA8B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10" Type="http://schemas.openxmlformats.org/officeDocument/2006/relationships/chart" Target="../charts/chart4.xml"/><Relationship Id="rId4" Type="http://schemas.openxmlformats.org/officeDocument/2006/relationships/image" Target="../media/image9.png"/><Relationship Id="rId9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8</xdr:row>
      <xdr:rowOff>0</xdr:rowOff>
    </xdr:from>
    <xdr:to>
      <xdr:col>11</xdr:col>
      <xdr:colOff>304800</xdr:colOff>
      <xdr:row>9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304800</xdr:colOff>
      <xdr:row>9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18</xdr:col>
      <xdr:colOff>416720</xdr:colOff>
      <xdr:row>0</xdr:row>
      <xdr:rowOff>25212</xdr:rowOff>
    </xdr:from>
    <xdr:to>
      <xdr:col>19</xdr:col>
      <xdr:colOff>521074</xdr:colOff>
      <xdr:row>0</xdr:row>
      <xdr:rowOff>717176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76971B8-4CD3-4DF5-AC65-C57B67D794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80" t="15141" r="72553" b="17304"/>
        <a:stretch>
          <a:fillRect/>
        </a:stretch>
      </xdr:blipFill>
      <xdr:spPr>
        <a:xfrm>
          <a:off x="12003602" y="25212"/>
          <a:ext cx="709472" cy="69196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104775</xdr:rowOff>
    </xdr:from>
    <xdr:to>
      <xdr:col>0</xdr:col>
      <xdr:colOff>1797844</xdr:colOff>
      <xdr:row>10</xdr:row>
      <xdr:rowOff>180975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2783D84B-BA10-4CD1-8C05-98DE87D596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47775"/>
              <a:ext cx="1797844" cy="132005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134470</xdr:colOff>
      <xdr:row>4</xdr:row>
      <xdr:rowOff>112687</xdr:rowOff>
    </xdr:from>
    <xdr:to>
      <xdr:col>10</xdr:col>
      <xdr:colOff>101554</xdr:colOff>
      <xdr:row>11</xdr:row>
      <xdr:rowOff>158766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8E5B0ED5-8A76-1092-2D7E-945CB66D2E3D}"/>
            </a:ext>
          </a:extLst>
        </xdr:cNvPr>
        <xdr:cNvGrpSpPr/>
      </xdr:nvGrpSpPr>
      <xdr:grpSpPr>
        <a:xfrm>
          <a:off x="1972235" y="1255687"/>
          <a:ext cx="5043348" cy="1480432"/>
          <a:chOff x="2095500" y="1416844"/>
          <a:chExt cx="5060156" cy="1469226"/>
        </a:xfrm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1A7C9653-C1B1-65DC-5723-C710F0FEFAE7}"/>
              </a:ext>
            </a:extLst>
          </xdr:cNvPr>
          <xdr:cNvSpPr/>
        </xdr:nvSpPr>
        <xdr:spPr>
          <a:xfrm>
            <a:off x="2095500" y="1595437"/>
            <a:ext cx="5060156" cy="125015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4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10F0CE66-DFD0-4278-B223-F14BECC1F1B8}"/>
              </a:ext>
            </a:extLst>
          </xdr:cNvPr>
          <xdr:cNvSpPr/>
        </xdr:nvSpPr>
        <xdr:spPr>
          <a:xfrm>
            <a:off x="3393280" y="1901425"/>
            <a:ext cx="3583782" cy="904876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31E19CF-95A7-43E1-BA38-F87BC97E7506}" type="TxLink">
              <a:rPr lang="en-US" sz="3600" b="1" i="0" u="none" strike="noStrike">
                <a:solidFill>
                  <a:sysClr val="windowText" lastClr="000000"/>
                </a:solidFill>
                <a:latin typeface="Aptos Narrow"/>
              </a:rPr>
              <a:pPr algn="ctr"/>
              <a:t> R$ 2.940,00 </a:t>
            </a:fld>
            <a:endParaRPr lang="en-US" sz="3600" b="1">
              <a:solidFill>
                <a:sysClr val="windowText" lastClr="000000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C1D2D14C-4E3E-4754-9752-BE9552CDC5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33623" y="1821657"/>
            <a:ext cx="1070905" cy="1064413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3E4CB8E7-0DB3-B23A-C234-6EEBA893F4D2}"/>
              </a:ext>
            </a:extLst>
          </xdr:cNvPr>
          <xdr:cNvSpPr/>
        </xdr:nvSpPr>
        <xdr:spPr>
          <a:xfrm>
            <a:off x="2107406" y="1416844"/>
            <a:ext cx="5036344" cy="428625"/>
          </a:xfrm>
          <a:prstGeom prst="round2SameRect">
            <a:avLst/>
          </a:prstGeom>
          <a:solidFill>
            <a:srgbClr val="34B46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10</xdr:col>
      <xdr:colOff>553290</xdr:colOff>
      <xdr:row>4</xdr:row>
      <xdr:rowOff>112687</xdr:rowOff>
    </xdr:from>
    <xdr:to>
      <xdr:col>19</xdr:col>
      <xdr:colOff>317265</xdr:colOff>
      <xdr:row>11</xdr:row>
      <xdr:rowOff>118291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1124E107-AACD-7537-C0B4-17E9BD89A46A}"/>
            </a:ext>
          </a:extLst>
        </xdr:cNvPr>
        <xdr:cNvGrpSpPr/>
      </xdr:nvGrpSpPr>
      <xdr:grpSpPr>
        <a:xfrm>
          <a:off x="7467319" y="1255687"/>
          <a:ext cx="5041946" cy="1439957"/>
          <a:chOff x="7608094" y="1404938"/>
          <a:chExt cx="5060156" cy="1428751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0D33F3B0-64EC-41ED-B62E-F6A01C7A4745}"/>
              </a:ext>
            </a:extLst>
          </xdr:cNvPr>
          <xdr:cNvGrpSpPr/>
        </xdr:nvGrpSpPr>
        <xdr:grpSpPr>
          <a:xfrm>
            <a:off x="7608094" y="1404938"/>
            <a:ext cx="5060156" cy="1428751"/>
            <a:chOff x="2095500" y="1416844"/>
            <a:chExt cx="5060156" cy="1428751"/>
          </a:xfrm>
        </xdr:grpSpPr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83BC4C5F-8E53-A889-4DE7-1818F0495B69}"/>
                </a:ext>
              </a:extLst>
            </xdr:cNvPr>
            <xdr:cNvSpPr/>
          </xdr:nvSpPr>
          <xdr:spPr>
            <a:xfrm>
              <a:off x="2095500" y="1595437"/>
              <a:ext cx="5060156" cy="125015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34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4467FE8C-2BFE-8932-26BD-E209D2EFDCBF}"/>
                </a:ext>
              </a:extLst>
            </xdr:cNvPr>
            <xdr:cNvSpPr/>
          </xdr:nvSpPr>
          <xdr:spPr>
            <a:xfrm>
              <a:off x="3393280" y="1901425"/>
              <a:ext cx="3583782" cy="904876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A1E9BFB-E3AA-4224-AFB8-C3B33C5DA3E3}" type="TxLink">
                <a:rPr lang="en-US" sz="3600" b="1" i="0" u="none" strike="noStrike">
                  <a:solidFill>
                    <a:sysClr val="windowText" lastClr="000000"/>
                  </a:solidFill>
                  <a:latin typeface="Aptos Narrow"/>
                </a:rPr>
                <a:t> R$ 3.880,00 </a:t>
              </a:fld>
              <a:endParaRPr lang="en-US" sz="3600" b="1">
                <a:solidFill>
                  <a:sysClr val="windowText" lastClr="000000"/>
                </a:solidFill>
              </a:endParaRPr>
            </a:p>
          </xdr:txBody>
        </xdr:sp>
        <xdr:sp macro="" textlink="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6A414742-6D1A-94AC-A47F-B7D6A3754C71}"/>
                </a:ext>
              </a:extLst>
            </xdr:cNvPr>
            <xdr:cNvSpPr/>
          </xdr:nvSpPr>
          <xdr:spPr>
            <a:xfrm>
              <a:off x="2107406" y="1416844"/>
              <a:ext cx="5036344" cy="428625"/>
            </a:xfrm>
            <a:prstGeom prst="round2SameRect">
              <a:avLst/>
            </a:prstGeom>
            <a:solidFill>
              <a:srgbClr val="34B465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 Season Pass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193B36F7-CB79-4574-91E3-6EDAEF21CDF9}"/>
              </a:ext>
            </a:extLst>
          </xdr:cNvPr>
          <xdr:cNvGrpSpPr/>
        </xdr:nvGrpSpPr>
        <xdr:grpSpPr>
          <a:xfrm>
            <a:off x="7989093" y="1952624"/>
            <a:ext cx="1238251" cy="633414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E2E2E061-1128-7B4E-7517-4F131774468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8630E9D4-D3B1-B45B-6404-D412D510FCC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134470</xdr:colOff>
      <xdr:row>12</xdr:row>
      <xdr:rowOff>89647</xdr:rowOff>
    </xdr:from>
    <xdr:to>
      <xdr:col>10</xdr:col>
      <xdr:colOff>101806</xdr:colOff>
      <xdr:row>25</xdr:row>
      <xdr:rowOff>163432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CBD89534-FD37-3805-AFD7-F9B0588E6593}"/>
            </a:ext>
          </a:extLst>
        </xdr:cNvPr>
        <xdr:cNvGrpSpPr/>
      </xdr:nvGrpSpPr>
      <xdr:grpSpPr>
        <a:xfrm>
          <a:off x="1972235" y="2857500"/>
          <a:ext cx="5043600" cy="2550285"/>
          <a:chOff x="2083594" y="3214687"/>
          <a:chExt cx="10120886" cy="3334989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2D889D80-3760-21B2-C2A7-5C8BCDC9288D}"/>
              </a:ext>
            </a:extLst>
          </xdr:cNvPr>
          <xdr:cNvGrpSpPr/>
        </xdr:nvGrpSpPr>
        <xdr:grpSpPr>
          <a:xfrm>
            <a:off x="2083594" y="3274218"/>
            <a:ext cx="10120886" cy="3275458"/>
            <a:chOff x="2024062" y="1369218"/>
            <a:chExt cx="4689118" cy="2714625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3D1902C0-E17D-BC4A-9512-392102872C70}"/>
                </a:ext>
              </a:extLst>
            </xdr:cNvPr>
            <xdr:cNvSpPr/>
          </xdr:nvSpPr>
          <xdr:spPr>
            <a:xfrm>
              <a:off x="2024062" y="1369218"/>
              <a:ext cx="4601422" cy="2714625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49DAFAC0-D589-42AC-B753-71038452E992}"/>
                </a:ext>
              </a:extLst>
            </xdr:cNvPr>
            <xdr:cNvGraphicFramePr>
              <a:graphicFrameLocks/>
            </xdr:cNvGraphicFramePr>
          </xdr:nvGraphicFramePr>
          <xdr:xfrm>
            <a:off x="2043554" y="1805670"/>
            <a:ext cx="4669626" cy="210104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4521E667-9D4D-4F70-A931-411471AC1170}"/>
              </a:ext>
            </a:extLst>
          </xdr:cNvPr>
          <xdr:cNvSpPr/>
        </xdr:nvSpPr>
        <xdr:spPr>
          <a:xfrm>
            <a:off x="2095499" y="3214687"/>
            <a:ext cx="9930834" cy="452438"/>
          </a:xfrm>
          <a:prstGeom prst="round2SameRect">
            <a:avLst/>
          </a:prstGeom>
          <a:solidFill>
            <a:srgbClr val="34B46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Total Subscriptions XBOX Game Pass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265439</xdr:colOff>
      <xdr:row>1</xdr:row>
      <xdr:rowOff>194701</xdr:rowOff>
    </xdr:from>
    <xdr:to>
      <xdr:col>0</xdr:col>
      <xdr:colOff>1718001</xdr:colOff>
      <xdr:row>4</xdr:row>
      <xdr:rowOff>25212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6A995A8B-D9F6-C649-B7E1-0A91CD0FB5A4}"/>
            </a:ext>
          </a:extLst>
        </xdr:cNvPr>
        <xdr:cNvSpPr/>
      </xdr:nvSpPr>
      <xdr:spPr>
        <a:xfrm>
          <a:off x="265439" y="934289"/>
          <a:ext cx="1452562" cy="233923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n>
                <a:noFill/>
              </a:ln>
            </a:rPr>
            <a:t>&gt; Bem-vindo(a).</a:t>
          </a:r>
        </a:p>
      </xdr:txBody>
    </xdr:sp>
    <xdr:clientData/>
  </xdr:twoCellAnchor>
  <xdr:twoCellAnchor editAs="absolute">
    <xdr:from>
      <xdr:col>1</xdr:col>
      <xdr:colOff>156881</xdr:colOff>
      <xdr:row>2</xdr:row>
      <xdr:rowOff>11206</xdr:rowOff>
    </xdr:from>
    <xdr:to>
      <xdr:col>9</xdr:col>
      <xdr:colOff>549087</xdr:colOff>
      <xdr:row>4</xdr:row>
      <xdr:rowOff>100852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E0E733C7-BE10-4A98-8A45-FB864E135386}"/>
            </a:ext>
          </a:extLst>
        </xdr:cNvPr>
        <xdr:cNvSpPr/>
      </xdr:nvSpPr>
      <xdr:spPr>
        <a:xfrm>
          <a:off x="1994646" y="952500"/>
          <a:ext cx="4863353" cy="29135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n>
                <a:noFill/>
              </a:ln>
              <a:solidFill>
                <a:schemeClr val="bg1">
                  <a:lumMod val="65000"/>
                </a:schemeClr>
              </a:solidFill>
            </a:rPr>
            <a:t>Calculation</a:t>
          </a:r>
          <a:r>
            <a:rPr lang="pt-BR" sz="1100" b="1" baseline="0">
              <a:ln>
                <a:noFill/>
              </a:ln>
              <a:solidFill>
                <a:schemeClr val="bg1">
                  <a:lumMod val="65000"/>
                </a:schemeClr>
              </a:solidFill>
            </a:rPr>
            <a:t> Period</a:t>
          </a:r>
          <a:r>
            <a:rPr lang="pt-BR" sz="1100" b="1">
              <a:ln>
                <a:noFill/>
              </a:ln>
              <a:solidFill>
                <a:schemeClr val="bg1">
                  <a:lumMod val="65000"/>
                </a:schemeClr>
              </a:solidFill>
            </a:rPr>
            <a:t>: 01/01/2024 a 31/12/2024 | Update:</a:t>
          </a:r>
          <a:r>
            <a:rPr lang="pt-BR" sz="1100" b="1" baseline="0">
              <a:ln>
                <a:noFill/>
              </a:ln>
              <a:solidFill>
                <a:schemeClr val="bg1">
                  <a:lumMod val="65000"/>
                </a:schemeClr>
              </a:solidFill>
            </a:rPr>
            <a:t> 15/01/2026  00:30:00</a:t>
          </a:r>
          <a:endParaRPr lang="pt-BR" sz="1100" b="1">
            <a:ln>
              <a:noFill/>
            </a:ln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481854</xdr:colOff>
      <xdr:row>0</xdr:row>
      <xdr:rowOff>176726</xdr:rowOff>
    </xdr:from>
    <xdr:to>
      <xdr:col>0</xdr:col>
      <xdr:colOff>1199030</xdr:colOff>
      <xdr:row>1</xdr:row>
      <xdr:rowOff>159125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0B413A66-32E8-4254-B713-6381DA484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4" y="344814"/>
          <a:ext cx="717176" cy="7219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100852</xdr:colOff>
      <xdr:row>12</xdr:row>
      <xdr:rowOff>89647</xdr:rowOff>
    </xdr:from>
    <xdr:to>
      <xdr:col>19</xdr:col>
      <xdr:colOff>403903</xdr:colOff>
      <xdr:row>25</xdr:row>
      <xdr:rowOff>112059</xdr:rowOff>
    </xdr:to>
    <xdr:grpSp>
      <xdr:nvGrpSpPr>
        <xdr:cNvPr id="52" name="Agrupar 51">
          <a:extLst>
            <a:ext uri="{FF2B5EF4-FFF2-40B4-BE49-F238E27FC236}">
              <a16:creationId xmlns:a16="http://schemas.microsoft.com/office/drawing/2014/main" id="{B58813AA-87DA-63AA-12D4-85B71B28ECF8}"/>
            </a:ext>
          </a:extLst>
        </xdr:cNvPr>
        <xdr:cNvGrpSpPr/>
      </xdr:nvGrpSpPr>
      <xdr:grpSpPr>
        <a:xfrm>
          <a:off x="7619999" y="2857500"/>
          <a:ext cx="4975904" cy="2498912"/>
          <a:chOff x="7676029" y="3316942"/>
          <a:chExt cx="4975904" cy="2633382"/>
        </a:xfrm>
      </xdr:grpSpPr>
      <xdr:grpSp>
        <xdr:nvGrpSpPr>
          <xdr:cNvPr id="42" name="Agrupar 41">
            <a:extLst>
              <a:ext uri="{FF2B5EF4-FFF2-40B4-BE49-F238E27FC236}">
                <a16:creationId xmlns:a16="http://schemas.microsoft.com/office/drawing/2014/main" id="{DC68FC61-87C9-4C27-AB98-245BD815A18F}"/>
              </a:ext>
            </a:extLst>
          </xdr:cNvPr>
          <xdr:cNvGrpSpPr/>
        </xdr:nvGrpSpPr>
        <xdr:grpSpPr>
          <a:xfrm>
            <a:off x="7676029" y="3316942"/>
            <a:ext cx="4975904" cy="2633382"/>
            <a:chOff x="2083594" y="3214687"/>
            <a:chExt cx="9942739" cy="3334989"/>
          </a:xfrm>
        </xdr:grpSpPr>
        <xdr:sp macro="" textlink="">
          <xdr:nvSpPr>
            <xdr:cNvPr id="45" name="Retângulo: Cantos Arredondados 44">
              <a:extLst>
                <a:ext uri="{FF2B5EF4-FFF2-40B4-BE49-F238E27FC236}">
                  <a16:creationId xmlns:a16="http://schemas.microsoft.com/office/drawing/2014/main" id="{05A8EF50-D2BB-EFBB-47E5-B8F5456A918A}"/>
                </a:ext>
              </a:extLst>
            </xdr:cNvPr>
            <xdr:cNvSpPr/>
          </xdr:nvSpPr>
          <xdr:spPr>
            <a:xfrm>
              <a:off x="2083594" y="3274218"/>
              <a:ext cx="9931605" cy="327545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44" name="Retângulo: Cantos Superiores Arredondados 43">
              <a:extLst>
                <a:ext uri="{FF2B5EF4-FFF2-40B4-BE49-F238E27FC236}">
                  <a16:creationId xmlns:a16="http://schemas.microsoft.com/office/drawing/2014/main" id="{C4C837EF-CACD-9385-2CB0-F95EB39286C6}"/>
                </a:ext>
              </a:extLst>
            </xdr:cNvPr>
            <xdr:cNvSpPr/>
          </xdr:nvSpPr>
          <xdr:spPr>
            <a:xfrm>
              <a:off x="2095499" y="3214687"/>
              <a:ext cx="9930834" cy="452438"/>
            </a:xfrm>
            <a:prstGeom prst="round2SameRect">
              <a:avLst/>
            </a:prstGeom>
            <a:solidFill>
              <a:srgbClr val="34B465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Monthly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40" name="Gráfico 39">
            <a:extLst>
              <a:ext uri="{FF2B5EF4-FFF2-40B4-BE49-F238E27FC236}">
                <a16:creationId xmlns:a16="http://schemas.microsoft.com/office/drawing/2014/main" id="{25160591-30A8-45E5-8286-0E88225D4389}"/>
              </a:ext>
            </a:extLst>
          </xdr:cNvPr>
          <xdr:cNvGraphicFramePr>
            <a:graphicFrameLocks/>
          </xdr:cNvGraphicFramePr>
        </xdr:nvGraphicFramePr>
        <xdr:xfrm>
          <a:off x="7933764" y="3731559"/>
          <a:ext cx="4572000" cy="200585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</xdr:grpSp>
    <xdr:clientData/>
  </xdr:twoCellAnchor>
  <xdr:twoCellAnchor>
    <xdr:from>
      <xdr:col>1</xdr:col>
      <xdr:colOff>134470</xdr:colOff>
      <xdr:row>26</xdr:row>
      <xdr:rowOff>134469</xdr:rowOff>
    </xdr:from>
    <xdr:to>
      <xdr:col>10</xdr:col>
      <xdr:colOff>101806</xdr:colOff>
      <xdr:row>40</xdr:row>
      <xdr:rowOff>17754</xdr:rowOff>
    </xdr:to>
    <xdr:grpSp>
      <xdr:nvGrpSpPr>
        <xdr:cNvPr id="54" name="Agrupar 53">
          <a:extLst>
            <a:ext uri="{FF2B5EF4-FFF2-40B4-BE49-F238E27FC236}">
              <a16:creationId xmlns:a16="http://schemas.microsoft.com/office/drawing/2014/main" id="{EF3D5CED-4E25-E686-E4E9-4CD23A12FB78}"/>
            </a:ext>
          </a:extLst>
        </xdr:cNvPr>
        <xdr:cNvGrpSpPr/>
      </xdr:nvGrpSpPr>
      <xdr:grpSpPr>
        <a:xfrm>
          <a:off x="1972235" y="5569322"/>
          <a:ext cx="5043600" cy="2550285"/>
          <a:chOff x="1972235" y="5569322"/>
          <a:chExt cx="4975904" cy="2550285"/>
        </a:xfrm>
      </xdr:grpSpPr>
      <xdr:grpSp>
        <xdr:nvGrpSpPr>
          <xdr:cNvPr id="47" name="Agrupar 46">
            <a:extLst>
              <a:ext uri="{FF2B5EF4-FFF2-40B4-BE49-F238E27FC236}">
                <a16:creationId xmlns:a16="http://schemas.microsoft.com/office/drawing/2014/main" id="{6E78370B-A78A-4FB8-80F8-CE3954ADE15F}"/>
              </a:ext>
            </a:extLst>
          </xdr:cNvPr>
          <xdr:cNvGrpSpPr/>
        </xdr:nvGrpSpPr>
        <xdr:grpSpPr>
          <a:xfrm>
            <a:off x="1972235" y="5569322"/>
            <a:ext cx="4975904" cy="2550285"/>
            <a:chOff x="2083594" y="3214687"/>
            <a:chExt cx="9942739" cy="3334989"/>
          </a:xfrm>
        </xdr:grpSpPr>
        <xdr:sp macro="" textlink="">
          <xdr:nvSpPr>
            <xdr:cNvPr id="50" name="Retângulo: Cantos Arredondados 49">
              <a:extLst>
                <a:ext uri="{FF2B5EF4-FFF2-40B4-BE49-F238E27FC236}">
                  <a16:creationId xmlns:a16="http://schemas.microsoft.com/office/drawing/2014/main" id="{D6745FF0-9B39-E49D-5620-3288B4A82BCF}"/>
                </a:ext>
              </a:extLst>
            </xdr:cNvPr>
            <xdr:cNvSpPr/>
          </xdr:nvSpPr>
          <xdr:spPr>
            <a:xfrm>
              <a:off x="2083594" y="3274218"/>
              <a:ext cx="9931605" cy="3275458"/>
            </a:xfrm>
            <a:prstGeom prst="roundRect">
              <a:avLst/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49" name="Retângulo: Cantos Superiores Arredondados 48">
              <a:extLst>
                <a:ext uri="{FF2B5EF4-FFF2-40B4-BE49-F238E27FC236}">
                  <a16:creationId xmlns:a16="http://schemas.microsoft.com/office/drawing/2014/main" id="{FF3BC6E3-C162-7AEF-B1D8-724E9FCD4B7A}"/>
                </a:ext>
              </a:extLst>
            </xdr:cNvPr>
            <xdr:cNvSpPr/>
          </xdr:nvSpPr>
          <xdr:spPr>
            <a:xfrm>
              <a:off x="2095499" y="3214687"/>
              <a:ext cx="9930834" cy="452438"/>
            </a:xfrm>
            <a:prstGeom prst="round2SameRect">
              <a:avLst/>
            </a:prstGeom>
            <a:solidFill>
              <a:srgbClr val="34B465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Subscriptions Discounts</a:t>
              </a:r>
              <a:endParaRPr lang="pt-BR" sz="1400" b="1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53" name="Gráfico 52">
            <a:extLst>
              <a:ext uri="{FF2B5EF4-FFF2-40B4-BE49-F238E27FC236}">
                <a16:creationId xmlns:a16="http://schemas.microsoft.com/office/drawing/2014/main" id="{3B550D1D-64CC-4FF7-B174-F529B904F44D}"/>
              </a:ext>
            </a:extLst>
          </xdr:cNvPr>
          <xdr:cNvGraphicFramePr>
            <a:graphicFrameLocks/>
          </xdr:cNvGraphicFramePr>
        </xdr:nvGraphicFramePr>
        <xdr:xfrm>
          <a:off x="2229971" y="5905500"/>
          <a:ext cx="4572000" cy="20618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11</xdr:col>
      <xdr:colOff>168089</xdr:colOff>
      <xdr:row>26</xdr:row>
      <xdr:rowOff>123265</xdr:rowOff>
    </xdr:from>
    <xdr:to>
      <xdr:col>19</xdr:col>
      <xdr:colOff>471140</xdr:colOff>
      <xdr:row>40</xdr:row>
      <xdr:rowOff>89647</xdr:rowOff>
    </xdr:to>
    <xdr:grpSp>
      <xdr:nvGrpSpPr>
        <xdr:cNvPr id="61" name="Agrupar 60">
          <a:extLst>
            <a:ext uri="{FF2B5EF4-FFF2-40B4-BE49-F238E27FC236}">
              <a16:creationId xmlns:a16="http://schemas.microsoft.com/office/drawing/2014/main" id="{4175161F-9398-E7AA-6FA8-AAD0F94A37A0}"/>
            </a:ext>
          </a:extLst>
        </xdr:cNvPr>
        <xdr:cNvGrpSpPr/>
      </xdr:nvGrpSpPr>
      <xdr:grpSpPr>
        <a:xfrm>
          <a:off x="7687236" y="5558118"/>
          <a:ext cx="4975904" cy="2633382"/>
          <a:chOff x="2083594" y="3214687"/>
          <a:chExt cx="9942739" cy="3334989"/>
        </a:xfrm>
      </xdr:grpSpPr>
      <xdr:sp macro="" textlink="">
        <xdr:nvSpPr>
          <xdr:cNvPr id="63" name="Retângulo: Cantos Arredondados 62">
            <a:extLst>
              <a:ext uri="{FF2B5EF4-FFF2-40B4-BE49-F238E27FC236}">
                <a16:creationId xmlns:a16="http://schemas.microsoft.com/office/drawing/2014/main" id="{DE6BECA6-5091-A3E0-317D-98700EF41A2F}"/>
              </a:ext>
            </a:extLst>
          </xdr:cNvPr>
          <xdr:cNvSpPr/>
        </xdr:nvSpPr>
        <xdr:spPr>
          <a:xfrm>
            <a:off x="2083594" y="3274218"/>
            <a:ext cx="9931605" cy="3275458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4" name="Retângulo: Cantos Superiores Arredondados 63">
            <a:extLst>
              <a:ext uri="{FF2B5EF4-FFF2-40B4-BE49-F238E27FC236}">
                <a16:creationId xmlns:a16="http://schemas.microsoft.com/office/drawing/2014/main" id="{8C3CF0FF-89F9-20DF-9CAE-1FED5699A2F0}"/>
              </a:ext>
            </a:extLst>
          </xdr:cNvPr>
          <xdr:cNvSpPr/>
        </xdr:nvSpPr>
        <xdr:spPr>
          <a:xfrm>
            <a:off x="2095499" y="3214687"/>
            <a:ext cx="9930834" cy="452438"/>
          </a:xfrm>
          <a:prstGeom prst="round2SameRect">
            <a:avLst/>
          </a:prstGeom>
          <a:solidFill>
            <a:srgbClr val="34B465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Amount </a:t>
            </a:r>
            <a:r>
              <a:rPr lang="pt-BR" sz="1400" b="1" baseline="0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per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Auto Renewal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12</xdr:col>
      <xdr:colOff>22413</xdr:colOff>
      <xdr:row>28</xdr:row>
      <xdr:rowOff>145678</xdr:rowOff>
    </xdr:from>
    <xdr:to>
      <xdr:col>19</xdr:col>
      <xdr:colOff>291353</xdr:colOff>
      <xdr:row>39</xdr:row>
      <xdr:rowOff>168088</xdr:rowOff>
    </xdr:to>
    <xdr:graphicFrame macro="">
      <xdr:nvGraphicFramePr>
        <xdr:cNvPr id="65" name="Gráfico 64">
          <a:extLst>
            <a:ext uri="{FF2B5EF4-FFF2-40B4-BE49-F238E27FC236}">
              <a16:creationId xmlns:a16="http://schemas.microsoft.com/office/drawing/2014/main" id="{EFF4450A-8674-42C1-B07E-0E47A7839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ticia Sell" refreshedDate="46036.013917824072" createdVersion="8" refreshedVersion="8" minRefreshableVersion="3" recordCount="295" xr:uid="{E3CD2017-3AE1-4EE5-98F4-92EE87AD8C1C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4761492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x v="0"/>
    <n v="30"/>
    <s v="Yes"/>
    <n v="20"/>
    <n v="5"/>
    <n v="60"/>
  </r>
  <r>
    <n v="3232"/>
    <x v="1"/>
    <x v="1"/>
    <x v="1"/>
    <x v="1"/>
    <n v="5"/>
    <x v="1"/>
    <x v="1"/>
    <s v="-"/>
    <s v="No"/>
    <n v="0"/>
    <n v="0"/>
    <n v="5"/>
  </r>
  <r>
    <n v="3233"/>
    <x v="2"/>
    <x v="2"/>
    <x v="2"/>
    <x v="0"/>
    <n v="10"/>
    <x v="2"/>
    <x v="1"/>
    <s v="-"/>
    <s v="Yes"/>
    <n v="20"/>
    <n v="10"/>
    <n v="20"/>
  </r>
  <r>
    <n v="3234"/>
    <x v="3"/>
    <x v="0"/>
    <x v="3"/>
    <x v="1"/>
    <n v="15"/>
    <x v="0"/>
    <x v="0"/>
    <n v="30"/>
    <s v="Yes"/>
    <n v="20"/>
    <n v="3"/>
    <n v="62"/>
  </r>
  <r>
    <n v="3235"/>
    <x v="4"/>
    <x v="1"/>
    <x v="4"/>
    <x v="0"/>
    <n v="5"/>
    <x v="0"/>
    <x v="1"/>
    <s v="-"/>
    <s v="No"/>
    <n v="0"/>
    <n v="1"/>
    <n v="4"/>
  </r>
  <r>
    <n v="3236"/>
    <x v="5"/>
    <x v="2"/>
    <x v="5"/>
    <x v="1"/>
    <n v="10"/>
    <x v="0"/>
    <x v="1"/>
    <s v="-"/>
    <s v="Yes"/>
    <n v="20"/>
    <n v="2"/>
    <n v="28"/>
  </r>
  <r>
    <n v="3237"/>
    <x v="6"/>
    <x v="0"/>
    <x v="6"/>
    <x v="0"/>
    <n v="15"/>
    <x v="2"/>
    <x v="0"/>
    <n v="30"/>
    <s v="Yes"/>
    <n v="20"/>
    <n v="10"/>
    <n v="55"/>
  </r>
  <r>
    <n v="3238"/>
    <x v="7"/>
    <x v="1"/>
    <x v="7"/>
    <x v="0"/>
    <n v="5"/>
    <x v="1"/>
    <x v="1"/>
    <s v="-"/>
    <s v="No"/>
    <n v="0"/>
    <n v="0"/>
    <n v="5"/>
  </r>
  <r>
    <n v="3239"/>
    <x v="8"/>
    <x v="0"/>
    <x v="4"/>
    <x v="1"/>
    <n v="15"/>
    <x v="0"/>
    <x v="0"/>
    <n v="30"/>
    <s v="Yes"/>
    <n v="20"/>
    <n v="5"/>
    <n v="60"/>
  </r>
  <r>
    <n v="3240"/>
    <x v="9"/>
    <x v="2"/>
    <x v="8"/>
    <x v="0"/>
    <n v="10"/>
    <x v="2"/>
    <x v="1"/>
    <s v="-"/>
    <s v="Yes"/>
    <n v="20"/>
    <n v="15"/>
    <n v="15"/>
  </r>
  <r>
    <n v="3241"/>
    <x v="10"/>
    <x v="1"/>
    <x v="9"/>
    <x v="1"/>
    <n v="5"/>
    <x v="0"/>
    <x v="1"/>
    <s v="-"/>
    <s v="No"/>
    <n v="0"/>
    <n v="1"/>
    <n v="4"/>
  </r>
  <r>
    <n v="3242"/>
    <x v="11"/>
    <x v="0"/>
    <x v="10"/>
    <x v="0"/>
    <n v="15"/>
    <x v="1"/>
    <x v="0"/>
    <n v="30"/>
    <s v="Yes"/>
    <n v="20"/>
    <n v="20"/>
    <n v="45"/>
  </r>
  <r>
    <n v="3243"/>
    <x v="12"/>
    <x v="2"/>
    <x v="11"/>
    <x v="1"/>
    <n v="10"/>
    <x v="0"/>
    <x v="1"/>
    <s v="-"/>
    <s v="Yes"/>
    <n v="20"/>
    <n v="10"/>
    <n v="20"/>
  </r>
  <r>
    <n v="3244"/>
    <x v="13"/>
    <x v="1"/>
    <x v="12"/>
    <x v="0"/>
    <n v="5"/>
    <x v="2"/>
    <x v="1"/>
    <s v="-"/>
    <s v="No"/>
    <n v="0"/>
    <n v="0"/>
    <n v="5"/>
  </r>
  <r>
    <n v="3245"/>
    <x v="14"/>
    <x v="0"/>
    <x v="13"/>
    <x v="1"/>
    <n v="15"/>
    <x v="0"/>
    <x v="0"/>
    <n v="30"/>
    <s v="Yes"/>
    <n v="20"/>
    <n v="8"/>
    <n v="57"/>
  </r>
  <r>
    <n v="3246"/>
    <x v="15"/>
    <x v="2"/>
    <x v="14"/>
    <x v="0"/>
    <n v="10"/>
    <x v="1"/>
    <x v="1"/>
    <s v="-"/>
    <s v="Yes"/>
    <n v="20"/>
    <n v="12"/>
    <n v="18"/>
  </r>
  <r>
    <n v="3247"/>
    <x v="16"/>
    <x v="1"/>
    <x v="15"/>
    <x v="1"/>
    <n v="5"/>
    <x v="0"/>
    <x v="1"/>
    <s v="-"/>
    <s v="No"/>
    <n v="0"/>
    <n v="2"/>
    <n v="3"/>
  </r>
  <r>
    <n v="3248"/>
    <x v="17"/>
    <x v="0"/>
    <x v="16"/>
    <x v="0"/>
    <n v="15"/>
    <x v="2"/>
    <x v="0"/>
    <n v="30"/>
    <s v="Yes"/>
    <n v="20"/>
    <n v="7"/>
    <n v="58"/>
  </r>
  <r>
    <n v="3249"/>
    <x v="18"/>
    <x v="2"/>
    <x v="17"/>
    <x v="1"/>
    <n v="10"/>
    <x v="0"/>
    <x v="1"/>
    <s v="-"/>
    <s v="Yes"/>
    <n v="20"/>
    <n v="5"/>
    <n v="25"/>
  </r>
  <r>
    <n v="3250"/>
    <x v="19"/>
    <x v="1"/>
    <x v="18"/>
    <x v="0"/>
    <n v="5"/>
    <x v="1"/>
    <x v="1"/>
    <s v="-"/>
    <s v="No"/>
    <n v="0"/>
    <n v="0"/>
    <n v="5"/>
  </r>
  <r>
    <n v="3251"/>
    <x v="20"/>
    <x v="0"/>
    <x v="19"/>
    <x v="1"/>
    <n v="15"/>
    <x v="0"/>
    <x v="0"/>
    <n v="30"/>
    <s v="Yes"/>
    <n v="20"/>
    <n v="3"/>
    <n v="62"/>
  </r>
  <r>
    <n v="3252"/>
    <x v="21"/>
    <x v="2"/>
    <x v="20"/>
    <x v="0"/>
    <n v="10"/>
    <x v="2"/>
    <x v="1"/>
    <s v="-"/>
    <s v="Yes"/>
    <n v="20"/>
    <n v="15"/>
    <n v="15"/>
  </r>
  <r>
    <n v="3253"/>
    <x v="22"/>
    <x v="1"/>
    <x v="21"/>
    <x v="1"/>
    <n v="5"/>
    <x v="0"/>
    <x v="1"/>
    <s v="-"/>
    <s v="No"/>
    <n v="0"/>
    <n v="1"/>
    <n v="4"/>
  </r>
  <r>
    <n v="3254"/>
    <x v="23"/>
    <x v="0"/>
    <x v="22"/>
    <x v="0"/>
    <n v="15"/>
    <x v="1"/>
    <x v="0"/>
    <n v="30"/>
    <s v="Yes"/>
    <n v="20"/>
    <n v="20"/>
    <n v="45"/>
  </r>
  <r>
    <n v="3255"/>
    <x v="24"/>
    <x v="2"/>
    <x v="23"/>
    <x v="1"/>
    <n v="10"/>
    <x v="0"/>
    <x v="1"/>
    <s v="-"/>
    <s v="Yes"/>
    <n v="20"/>
    <n v="10"/>
    <n v="20"/>
  </r>
  <r>
    <n v="3256"/>
    <x v="25"/>
    <x v="1"/>
    <x v="24"/>
    <x v="0"/>
    <n v="5"/>
    <x v="2"/>
    <x v="1"/>
    <s v="-"/>
    <s v="No"/>
    <n v="0"/>
    <n v="0"/>
    <n v="5"/>
  </r>
  <r>
    <n v="3257"/>
    <x v="26"/>
    <x v="0"/>
    <x v="25"/>
    <x v="1"/>
    <n v="15"/>
    <x v="0"/>
    <x v="0"/>
    <n v="30"/>
    <s v="Yes"/>
    <n v="20"/>
    <n v="5"/>
    <n v="60"/>
  </r>
  <r>
    <n v="3258"/>
    <x v="27"/>
    <x v="2"/>
    <x v="26"/>
    <x v="0"/>
    <n v="10"/>
    <x v="1"/>
    <x v="1"/>
    <s v="-"/>
    <s v="Yes"/>
    <n v="20"/>
    <n v="15"/>
    <n v="15"/>
  </r>
  <r>
    <n v="3259"/>
    <x v="28"/>
    <x v="1"/>
    <x v="27"/>
    <x v="1"/>
    <n v="5"/>
    <x v="0"/>
    <x v="1"/>
    <s v="-"/>
    <s v="No"/>
    <n v="0"/>
    <n v="1"/>
    <n v="4"/>
  </r>
  <r>
    <n v="3260"/>
    <x v="29"/>
    <x v="0"/>
    <x v="28"/>
    <x v="0"/>
    <n v="15"/>
    <x v="2"/>
    <x v="0"/>
    <n v="30"/>
    <s v="Yes"/>
    <n v="20"/>
    <n v="7"/>
    <n v="58"/>
  </r>
  <r>
    <n v="3261"/>
    <x v="30"/>
    <x v="2"/>
    <x v="29"/>
    <x v="1"/>
    <n v="10"/>
    <x v="0"/>
    <x v="1"/>
    <s v="-"/>
    <s v="Yes"/>
    <n v="20"/>
    <n v="10"/>
    <n v="20"/>
  </r>
  <r>
    <n v="3262"/>
    <x v="31"/>
    <x v="1"/>
    <x v="30"/>
    <x v="0"/>
    <n v="5"/>
    <x v="1"/>
    <x v="1"/>
    <s v="-"/>
    <s v="No"/>
    <n v="0"/>
    <n v="0"/>
    <n v="5"/>
  </r>
  <r>
    <n v="3263"/>
    <x v="32"/>
    <x v="0"/>
    <x v="31"/>
    <x v="1"/>
    <n v="15"/>
    <x v="0"/>
    <x v="0"/>
    <n v="30"/>
    <s v="Yes"/>
    <n v="20"/>
    <n v="3"/>
    <n v="62"/>
  </r>
  <r>
    <n v="3264"/>
    <x v="33"/>
    <x v="2"/>
    <x v="32"/>
    <x v="0"/>
    <n v="10"/>
    <x v="2"/>
    <x v="1"/>
    <s v="-"/>
    <s v="Yes"/>
    <n v="20"/>
    <n v="15"/>
    <n v="15"/>
  </r>
  <r>
    <n v="3265"/>
    <x v="34"/>
    <x v="1"/>
    <x v="33"/>
    <x v="1"/>
    <n v="5"/>
    <x v="0"/>
    <x v="1"/>
    <s v="-"/>
    <s v="No"/>
    <n v="0"/>
    <n v="1"/>
    <n v="4"/>
  </r>
  <r>
    <n v="3266"/>
    <x v="35"/>
    <x v="1"/>
    <x v="34"/>
    <x v="0"/>
    <n v="5"/>
    <x v="0"/>
    <x v="1"/>
    <s v="-"/>
    <s v="No"/>
    <n v="0"/>
    <n v="0"/>
    <n v="5"/>
  </r>
  <r>
    <n v="3267"/>
    <x v="36"/>
    <x v="0"/>
    <x v="35"/>
    <x v="1"/>
    <n v="15"/>
    <x v="2"/>
    <x v="0"/>
    <n v="30"/>
    <s v="Yes"/>
    <n v="20"/>
    <n v="7"/>
    <n v="58"/>
  </r>
  <r>
    <n v="3268"/>
    <x v="37"/>
    <x v="2"/>
    <x v="36"/>
    <x v="0"/>
    <n v="10"/>
    <x v="1"/>
    <x v="1"/>
    <s v="-"/>
    <s v="Yes"/>
    <n v="20"/>
    <n v="10"/>
    <n v="20"/>
  </r>
  <r>
    <n v="3269"/>
    <x v="38"/>
    <x v="1"/>
    <x v="37"/>
    <x v="1"/>
    <n v="5"/>
    <x v="2"/>
    <x v="1"/>
    <s v="-"/>
    <s v="No"/>
    <n v="0"/>
    <n v="1"/>
    <n v="4"/>
  </r>
  <r>
    <n v="3270"/>
    <x v="39"/>
    <x v="0"/>
    <x v="38"/>
    <x v="0"/>
    <n v="15"/>
    <x v="0"/>
    <x v="0"/>
    <n v="30"/>
    <s v="Yes"/>
    <n v="20"/>
    <n v="15"/>
    <n v="50"/>
  </r>
  <r>
    <n v="3271"/>
    <x v="40"/>
    <x v="2"/>
    <x v="39"/>
    <x v="1"/>
    <n v="10"/>
    <x v="0"/>
    <x v="1"/>
    <s v="-"/>
    <s v="Yes"/>
    <n v="20"/>
    <n v="5"/>
    <n v="25"/>
  </r>
  <r>
    <n v="3272"/>
    <x v="41"/>
    <x v="1"/>
    <x v="40"/>
    <x v="0"/>
    <n v="5"/>
    <x v="1"/>
    <x v="1"/>
    <s v="-"/>
    <s v="No"/>
    <n v="0"/>
    <n v="0"/>
    <n v="5"/>
  </r>
  <r>
    <n v="3273"/>
    <x v="42"/>
    <x v="0"/>
    <x v="41"/>
    <x v="1"/>
    <n v="15"/>
    <x v="2"/>
    <x v="0"/>
    <n v="30"/>
    <s v="Yes"/>
    <n v="20"/>
    <n v="20"/>
    <n v="45"/>
  </r>
  <r>
    <n v="3274"/>
    <x v="43"/>
    <x v="2"/>
    <x v="42"/>
    <x v="0"/>
    <n v="10"/>
    <x v="2"/>
    <x v="1"/>
    <s v="-"/>
    <s v="Yes"/>
    <n v="20"/>
    <n v="12"/>
    <n v="18"/>
  </r>
  <r>
    <n v="3275"/>
    <x v="44"/>
    <x v="1"/>
    <x v="43"/>
    <x v="1"/>
    <n v="5"/>
    <x v="0"/>
    <x v="1"/>
    <s v="-"/>
    <s v="No"/>
    <n v="0"/>
    <n v="2"/>
    <n v="3"/>
  </r>
  <r>
    <n v="3276"/>
    <x v="45"/>
    <x v="0"/>
    <x v="44"/>
    <x v="0"/>
    <n v="15"/>
    <x v="1"/>
    <x v="0"/>
    <n v="30"/>
    <s v="Yes"/>
    <n v="20"/>
    <n v="5"/>
    <n v="60"/>
  </r>
  <r>
    <n v="3277"/>
    <x v="46"/>
    <x v="2"/>
    <x v="45"/>
    <x v="1"/>
    <n v="10"/>
    <x v="0"/>
    <x v="1"/>
    <s v="-"/>
    <s v="Yes"/>
    <n v="20"/>
    <n v="10"/>
    <n v="20"/>
  </r>
  <r>
    <n v="3278"/>
    <x v="47"/>
    <x v="1"/>
    <x v="46"/>
    <x v="0"/>
    <n v="5"/>
    <x v="2"/>
    <x v="1"/>
    <s v="-"/>
    <s v="No"/>
    <n v="0"/>
    <n v="0"/>
    <n v="5"/>
  </r>
  <r>
    <n v="3279"/>
    <x v="48"/>
    <x v="0"/>
    <x v="47"/>
    <x v="1"/>
    <n v="15"/>
    <x v="0"/>
    <x v="0"/>
    <n v="30"/>
    <s v="Yes"/>
    <n v="20"/>
    <n v="3"/>
    <n v="62"/>
  </r>
  <r>
    <n v="3280"/>
    <x v="49"/>
    <x v="2"/>
    <x v="48"/>
    <x v="0"/>
    <n v="10"/>
    <x v="1"/>
    <x v="1"/>
    <s v="-"/>
    <s v="Yes"/>
    <n v="20"/>
    <n v="15"/>
    <n v="15"/>
  </r>
  <r>
    <n v="3281"/>
    <x v="50"/>
    <x v="1"/>
    <x v="49"/>
    <x v="1"/>
    <n v="5"/>
    <x v="0"/>
    <x v="1"/>
    <s v="-"/>
    <s v="No"/>
    <n v="0"/>
    <n v="1"/>
    <n v="4"/>
  </r>
  <r>
    <n v="3282"/>
    <x v="51"/>
    <x v="0"/>
    <x v="50"/>
    <x v="0"/>
    <n v="15"/>
    <x v="2"/>
    <x v="0"/>
    <n v="30"/>
    <s v="Yes"/>
    <n v="20"/>
    <n v="7"/>
    <n v="58"/>
  </r>
  <r>
    <n v="3283"/>
    <x v="52"/>
    <x v="2"/>
    <x v="51"/>
    <x v="1"/>
    <n v="10"/>
    <x v="0"/>
    <x v="1"/>
    <s v="-"/>
    <s v="Yes"/>
    <n v="20"/>
    <n v="10"/>
    <n v="20"/>
  </r>
  <r>
    <n v="3284"/>
    <x v="53"/>
    <x v="1"/>
    <x v="52"/>
    <x v="0"/>
    <n v="5"/>
    <x v="1"/>
    <x v="1"/>
    <s v="-"/>
    <s v="No"/>
    <n v="0"/>
    <n v="0"/>
    <n v="5"/>
  </r>
  <r>
    <n v="3285"/>
    <x v="54"/>
    <x v="0"/>
    <x v="53"/>
    <x v="1"/>
    <n v="15"/>
    <x v="0"/>
    <x v="0"/>
    <n v="30"/>
    <s v="Yes"/>
    <n v="20"/>
    <n v="20"/>
    <n v="45"/>
  </r>
  <r>
    <n v="3286"/>
    <x v="55"/>
    <x v="2"/>
    <x v="54"/>
    <x v="0"/>
    <n v="10"/>
    <x v="2"/>
    <x v="1"/>
    <s v="-"/>
    <s v="Yes"/>
    <n v="20"/>
    <n v="15"/>
    <n v="15"/>
  </r>
  <r>
    <n v="3287"/>
    <x v="56"/>
    <x v="1"/>
    <x v="55"/>
    <x v="1"/>
    <n v="5"/>
    <x v="0"/>
    <x v="1"/>
    <s v="-"/>
    <s v="No"/>
    <n v="0"/>
    <n v="1"/>
    <n v="4"/>
  </r>
  <r>
    <n v="3288"/>
    <x v="57"/>
    <x v="0"/>
    <x v="56"/>
    <x v="0"/>
    <n v="15"/>
    <x v="1"/>
    <x v="0"/>
    <n v="30"/>
    <s v="Yes"/>
    <n v="20"/>
    <n v="3"/>
    <n v="62"/>
  </r>
  <r>
    <n v="3289"/>
    <x v="58"/>
    <x v="2"/>
    <x v="57"/>
    <x v="1"/>
    <n v="10"/>
    <x v="0"/>
    <x v="1"/>
    <s v="-"/>
    <s v="Yes"/>
    <n v="20"/>
    <n v="10"/>
    <n v="20"/>
  </r>
  <r>
    <n v="3290"/>
    <x v="59"/>
    <x v="1"/>
    <x v="58"/>
    <x v="0"/>
    <n v="5"/>
    <x v="2"/>
    <x v="1"/>
    <s v="-"/>
    <s v="No"/>
    <n v="0"/>
    <n v="0"/>
    <n v="5"/>
  </r>
  <r>
    <n v="3291"/>
    <x v="60"/>
    <x v="0"/>
    <x v="59"/>
    <x v="1"/>
    <n v="15"/>
    <x v="0"/>
    <x v="0"/>
    <n v="30"/>
    <s v="Yes"/>
    <n v="20"/>
    <n v="5"/>
    <n v="60"/>
  </r>
  <r>
    <n v="3292"/>
    <x v="61"/>
    <x v="2"/>
    <x v="60"/>
    <x v="0"/>
    <n v="10"/>
    <x v="1"/>
    <x v="1"/>
    <s v="-"/>
    <s v="Yes"/>
    <n v="20"/>
    <n v="15"/>
    <n v="15"/>
  </r>
  <r>
    <n v="3293"/>
    <x v="62"/>
    <x v="1"/>
    <x v="61"/>
    <x v="1"/>
    <n v="5"/>
    <x v="0"/>
    <x v="1"/>
    <s v="-"/>
    <s v="No"/>
    <n v="0"/>
    <n v="1"/>
    <n v="4"/>
  </r>
  <r>
    <n v="3294"/>
    <x v="63"/>
    <x v="0"/>
    <x v="62"/>
    <x v="0"/>
    <n v="15"/>
    <x v="2"/>
    <x v="0"/>
    <n v="30"/>
    <s v="Yes"/>
    <n v="20"/>
    <n v="20"/>
    <n v="45"/>
  </r>
  <r>
    <n v="3295"/>
    <x v="64"/>
    <x v="2"/>
    <x v="63"/>
    <x v="1"/>
    <n v="10"/>
    <x v="0"/>
    <x v="1"/>
    <s v="-"/>
    <s v="Yes"/>
    <n v="20"/>
    <n v="5"/>
    <n v="25"/>
  </r>
  <r>
    <n v="3296"/>
    <x v="65"/>
    <x v="1"/>
    <x v="64"/>
    <x v="1"/>
    <n v="5"/>
    <x v="0"/>
    <x v="1"/>
    <s v="-"/>
    <s v="No"/>
    <n v="0"/>
    <n v="0"/>
    <n v="5"/>
  </r>
  <r>
    <n v="3297"/>
    <x v="66"/>
    <x v="0"/>
    <x v="65"/>
    <x v="0"/>
    <n v="15"/>
    <x v="2"/>
    <x v="0"/>
    <n v="30"/>
    <s v="Yes"/>
    <n v="20"/>
    <n v="7"/>
    <n v="58"/>
  </r>
  <r>
    <n v="3298"/>
    <x v="67"/>
    <x v="2"/>
    <x v="66"/>
    <x v="1"/>
    <n v="10"/>
    <x v="1"/>
    <x v="1"/>
    <s v="-"/>
    <s v="Yes"/>
    <n v="20"/>
    <n v="10"/>
    <n v="20"/>
  </r>
  <r>
    <n v="3299"/>
    <x v="68"/>
    <x v="1"/>
    <x v="67"/>
    <x v="0"/>
    <n v="5"/>
    <x v="2"/>
    <x v="1"/>
    <s v="-"/>
    <s v="No"/>
    <n v="0"/>
    <n v="1"/>
    <n v="4"/>
  </r>
  <r>
    <n v="3300"/>
    <x v="69"/>
    <x v="0"/>
    <x v="68"/>
    <x v="1"/>
    <n v="15"/>
    <x v="0"/>
    <x v="0"/>
    <n v="30"/>
    <s v="Yes"/>
    <n v="20"/>
    <n v="15"/>
    <n v="50"/>
  </r>
  <r>
    <n v="3301"/>
    <x v="70"/>
    <x v="2"/>
    <x v="69"/>
    <x v="0"/>
    <n v="10"/>
    <x v="0"/>
    <x v="1"/>
    <s v="-"/>
    <s v="Yes"/>
    <n v="20"/>
    <n v="5"/>
    <n v="25"/>
  </r>
  <r>
    <n v="3302"/>
    <x v="71"/>
    <x v="1"/>
    <x v="70"/>
    <x v="1"/>
    <n v="5"/>
    <x v="1"/>
    <x v="1"/>
    <s v="-"/>
    <s v="No"/>
    <n v="0"/>
    <n v="0"/>
    <n v="5"/>
  </r>
  <r>
    <n v="3303"/>
    <x v="72"/>
    <x v="0"/>
    <x v="71"/>
    <x v="0"/>
    <n v="15"/>
    <x v="2"/>
    <x v="0"/>
    <n v="30"/>
    <s v="Yes"/>
    <n v="20"/>
    <n v="20"/>
    <n v="45"/>
  </r>
  <r>
    <n v="3304"/>
    <x v="73"/>
    <x v="2"/>
    <x v="72"/>
    <x v="1"/>
    <n v="10"/>
    <x v="2"/>
    <x v="1"/>
    <s v="-"/>
    <s v="Yes"/>
    <n v="20"/>
    <n v="12"/>
    <n v="18"/>
  </r>
  <r>
    <n v="3305"/>
    <x v="74"/>
    <x v="1"/>
    <x v="73"/>
    <x v="0"/>
    <n v="5"/>
    <x v="0"/>
    <x v="1"/>
    <s v="-"/>
    <s v="No"/>
    <n v="0"/>
    <n v="2"/>
    <n v="3"/>
  </r>
  <r>
    <n v="3306"/>
    <x v="75"/>
    <x v="0"/>
    <x v="74"/>
    <x v="1"/>
    <n v="15"/>
    <x v="1"/>
    <x v="0"/>
    <n v="30"/>
    <s v="Yes"/>
    <n v="20"/>
    <n v="5"/>
    <n v="60"/>
  </r>
  <r>
    <n v="3307"/>
    <x v="76"/>
    <x v="2"/>
    <x v="75"/>
    <x v="0"/>
    <n v="10"/>
    <x v="0"/>
    <x v="1"/>
    <s v="-"/>
    <s v="Yes"/>
    <n v="20"/>
    <n v="10"/>
    <n v="20"/>
  </r>
  <r>
    <n v="3308"/>
    <x v="77"/>
    <x v="1"/>
    <x v="76"/>
    <x v="1"/>
    <n v="5"/>
    <x v="2"/>
    <x v="1"/>
    <s v="-"/>
    <s v="No"/>
    <n v="0"/>
    <n v="0"/>
    <n v="5"/>
  </r>
  <r>
    <n v="3309"/>
    <x v="78"/>
    <x v="0"/>
    <x v="77"/>
    <x v="0"/>
    <n v="15"/>
    <x v="0"/>
    <x v="0"/>
    <n v="30"/>
    <s v="Yes"/>
    <n v="20"/>
    <n v="3"/>
    <n v="62"/>
  </r>
  <r>
    <n v="3310"/>
    <x v="79"/>
    <x v="2"/>
    <x v="78"/>
    <x v="1"/>
    <n v="10"/>
    <x v="1"/>
    <x v="1"/>
    <s v="-"/>
    <s v="Yes"/>
    <n v="20"/>
    <n v="15"/>
    <n v="15"/>
  </r>
  <r>
    <n v="3311"/>
    <x v="80"/>
    <x v="1"/>
    <x v="79"/>
    <x v="0"/>
    <n v="5"/>
    <x v="0"/>
    <x v="1"/>
    <s v="-"/>
    <s v="No"/>
    <n v="0"/>
    <n v="1"/>
    <n v="4"/>
  </r>
  <r>
    <n v="3312"/>
    <x v="81"/>
    <x v="0"/>
    <x v="80"/>
    <x v="1"/>
    <n v="15"/>
    <x v="2"/>
    <x v="0"/>
    <n v="30"/>
    <s v="Yes"/>
    <n v="20"/>
    <n v="7"/>
    <n v="58"/>
  </r>
  <r>
    <n v="3313"/>
    <x v="82"/>
    <x v="2"/>
    <x v="81"/>
    <x v="0"/>
    <n v="10"/>
    <x v="0"/>
    <x v="1"/>
    <s v="-"/>
    <s v="Yes"/>
    <n v="20"/>
    <n v="10"/>
    <n v="20"/>
  </r>
  <r>
    <n v="3314"/>
    <x v="83"/>
    <x v="1"/>
    <x v="82"/>
    <x v="1"/>
    <n v="5"/>
    <x v="1"/>
    <x v="1"/>
    <s v="-"/>
    <s v="No"/>
    <n v="0"/>
    <n v="0"/>
    <n v="5"/>
  </r>
  <r>
    <n v="3315"/>
    <x v="84"/>
    <x v="0"/>
    <x v="83"/>
    <x v="0"/>
    <n v="15"/>
    <x v="0"/>
    <x v="0"/>
    <n v="30"/>
    <s v="Yes"/>
    <n v="20"/>
    <n v="20"/>
    <n v="45"/>
  </r>
  <r>
    <n v="3316"/>
    <x v="85"/>
    <x v="2"/>
    <x v="84"/>
    <x v="1"/>
    <n v="10"/>
    <x v="2"/>
    <x v="1"/>
    <s v="-"/>
    <s v="Yes"/>
    <n v="20"/>
    <n v="15"/>
    <n v="15"/>
  </r>
  <r>
    <n v="3317"/>
    <x v="86"/>
    <x v="1"/>
    <x v="85"/>
    <x v="0"/>
    <n v="5"/>
    <x v="0"/>
    <x v="1"/>
    <s v="-"/>
    <s v="No"/>
    <n v="0"/>
    <n v="1"/>
    <n v="4"/>
  </r>
  <r>
    <n v="3318"/>
    <x v="87"/>
    <x v="0"/>
    <x v="86"/>
    <x v="1"/>
    <n v="15"/>
    <x v="1"/>
    <x v="0"/>
    <n v="30"/>
    <s v="Yes"/>
    <n v="20"/>
    <n v="3"/>
    <n v="62"/>
  </r>
  <r>
    <n v="3319"/>
    <x v="88"/>
    <x v="2"/>
    <x v="87"/>
    <x v="0"/>
    <n v="10"/>
    <x v="0"/>
    <x v="1"/>
    <s v="-"/>
    <s v="Yes"/>
    <n v="20"/>
    <n v="10"/>
    <n v="20"/>
  </r>
  <r>
    <n v="3320"/>
    <x v="89"/>
    <x v="1"/>
    <x v="88"/>
    <x v="1"/>
    <n v="5"/>
    <x v="2"/>
    <x v="1"/>
    <s v="-"/>
    <s v="No"/>
    <n v="0"/>
    <n v="0"/>
    <n v="5"/>
  </r>
  <r>
    <n v="3321"/>
    <x v="90"/>
    <x v="0"/>
    <x v="89"/>
    <x v="0"/>
    <n v="15"/>
    <x v="0"/>
    <x v="0"/>
    <n v="30"/>
    <s v="Yes"/>
    <n v="20"/>
    <n v="5"/>
    <n v="60"/>
  </r>
  <r>
    <n v="3322"/>
    <x v="91"/>
    <x v="2"/>
    <x v="90"/>
    <x v="1"/>
    <n v="10"/>
    <x v="1"/>
    <x v="1"/>
    <s v="-"/>
    <s v="Yes"/>
    <n v="20"/>
    <n v="15"/>
    <n v="15"/>
  </r>
  <r>
    <n v="3323"/>
    <x v="92"/>
    <x v="1"/>
    <x v="91"/>
    <x v="0"/>
    <n v="5"/>
    <x v="0"/>
    <x v="1"/>
    <s v="-"/>
    <s v="No"/>
    <n v="0"/>
    <n v="1"/>
    <n v="4"/>
  </r>
  <r>
    <n v="3324"/>
    <x v="93"/>
    <x v="0"/>
    <x v="92"/>
    <x v="1"/>
    <n v="15"/>
    <x v="2"/>
    <x v="0"/>
    <n v="30"/>
    <s v="Yes"/>
    <n v="20"/>
    <n v="20"/>
    <n v="45"/>
  </r>
  <r>
    <n v="3325"/>
    <x v="94"/>
    <x v="2"/>
    <x v="93"/>
    <x v="0"/>
    <n v="10"/>
    <x v="2"/>
    <x v="1"/>
    <s v="-"/>
    <s v="Yes"/>
    <n v="20"/>
    <n v="15"/>
    <n v="15"/>
  </r>
  <r>
    <n v="3326"/>
    <x v="95"/>
    <x v="1"/>
    <x v="94"/>
    <x v="1"/>
    <n v="5"/>
    <x v="1"/>
    <x v="1"/>
    <s v="-"/>
    <s v="No"/>
    <n v="0"/>
    <n v="0"/>
    <n v="5"/>
  </r>
  <r>
    <n v="3327"/>
    <x v="96"/>
    <x v="0"/>
    <x v="95"/>
    <x v="0"/>
    <n v="15"/>
    <x v="0"/>
    <x v="0"/>
    <n v="30"/>
    <s v="Yes"/>
    <n v="20"/>
    <n v="7"/>
    <n v="58"/>
  </r>
  <r>
    <n v="3328"/>
    <x v="97"/>
    <x v="2"/>
    <x v="96"/>
    <x v="1"/>
    <n v="10"/>
    <x v="1"/>
    <x v="1"/>
    <s v="-"/>
    <s v="Yes"/>
    <n v="20"/>
    <n v="10"/>
    <n v="20"/>
  </r>
  <r>
    <n v="3329"/>
    <x v="98"/>
    <x v="1"/>
    <x v="97"/>
    <x v="0"/>
    <n v="5"/>
    <x v="2"/>
    <x v="1"/>
    <s v="-"/>
    <s v="No"/>
    <n v="0"/>
    <n v="1"/>
    <n v="4"/>
  </r>
  <r>
    <n v="3330"/>
    <x v="99"/>
    <x v="0"/>
    <x v="98"/>
    <x v="1"/>
    <n v="15"/>
    <x v="0"/>
    <x v="0"/>
    <n v="30"/>
    <s v="Yes"/>
    <n v="20"/>
    <n v="15"/>
    <n v="50"/>
  </r>
  <r>
    <n v="3331"/>
    <x v="100"/>
    <x v="2"/>
    <x v="99"/>
    <x v="0"/>
    <n v="10"/>
    <x v="0"/>
    <x v="1"/>
    <s v="-"/>
    <s v="Yes"/>
    <n v="20"/>
    <n v="5"/>
    <n v="25"/>
  </r>
  <r>
    <n v="3332"/>
    <x v="101"/>
    <x v="1"/>
    <x v="100"/>
    <x v="1"/>
    <n v="5"/>
    <x v="1"/>
    <x v="1"/>
    <s v="-"/>
    <s v="No"/>
    <n v="0"/>
    <n v="0"/>
    <n v="5"/>
  </r>
  <r>
    <n v="3333"/>
    <x v="102"/>
    <x v="0"/>
    <x v="101"/>
    <x v="0"/>
    <n v="15"/>
    <x v="2"/>
    <x v="0"/>
    <n v="30"/>
    <s v="Yes"/>
    <n v="20"/>
    <n v="20"/>
    <n v="45"/>
  </r>
  <r>
    <n v="3334"/>
    <x v="103"/>
    <x v="2"/>
    <x v="102"/>
    <x v="1"/>
    <n v="10"/>
    <x v="2"/>
    <x v="1"/>
    <s v="-"/>
    <s v="Yes"/>
    <n v="20"/>
    <n v="12"/>
    <n v="18"/>
  </r>
  <r>
    <n v="3335"/>
    <x v="104"/>
    <x v="1"/>
    <x v="103"/>
    <x v="0"/>
    <n v="5"/>
    <x v="0"/>
    <x v="1"/>
    <s v="-"/>
    <s v="No"/>
    <n v="0"/>
    <n v="2"/>
    <n v="3"/>
  </r>
  <r>
    <n v="3336"/>
    <x v="105"/>
    <x v="1"/>
    <x v="104"/>
    <x v="0"/>
    <n v="5"/>
    <x v="0"/>
    <x v="1"/>
    <s v="-"/>
    <s v="No"/>
    <n v="0"/>
    <n v="0"/>
    <n v="5"/>
  </r>
  <r>
    <n v="3337"/>
    <x v="106"/>
    <x v="0"/>
    <x v="105"/>
    <x v="1"/>
    <n v="15"/>
    <x v="2"/>
    <x v="0"/>
    <n v="30"/>
    <s v="Yes"/>
    <n v="20"/>
    <n v="7"/>
    <n v="58"/>
  </r>
  <r>
    <n v="3338"/>
    <x v="107"/>
    <x v="2"/>
    <x v="106"/>
    <x v="0"/>
    <n v="10"/>
    <x v="1"/>
    <x v="1"/>
    <s v="-"/>
    <s v="Yes"/>
    <n v="20"/>
    <n v="10"/>
    <n v="20"/>
  </r>
  <r>
    <n v="3339"/>
    <x v="108"/>
    <x v="1"/>
    <x v="107"/>
    <x v="1"/>
    <n v="5"/>
    <x v="2"/>
    <x v="1"/>
    <s v="-"/>
    <s v="No"/>
    <n v="0"/>
    <n v="1"/>
    <n v="4"/>
  </r>
  <r>
    <n v="3340"/>
    <x v="109"/>
    <x v="0"/>
    <x v="108"/>
    <x v="0"/>
    <n v="15"/>
    <x v="0"/>
    <x v="0"/>
    <n v="30"/>
    <s v="Yes"/>
    <n v="20"/>
    <n v="15"/>
    <n v="50"/>
  </r>
  <r>
    <n v="3341"/>
    <x v="110"/>
    <x v="2"/>
    <x v="109"/>
    <x v="1"/>
    <n v="10"/>
    <x v="0"/>
    <x v="1"/>
    <s v="-"/>
    <s v="Yes"/>
    <n v="20"/>
    <n v="5"/>
    <n v="25"/>
  </r>
  <r>
    <n v="3342"/>
    <x v="111"/>
    <x v="1"/>
    <x v="110"/>
    <x v="0"/>
    <n v="5"/>
    <x v="1"/>
    <x v="1"/>
    <s v="-"/>
    <s v="No"/>
    <n v="0"/>
    <n v="0"/>
    <n v="5"/>
  </r>
  <r>
    <n v="3343"/>
    <x v="112"/>
    <x v="0"/>
    <x v="111"/>
    <x v="1"/>
    <n v="15"/>
    <x v="2"/>
    <x v="0"/>
    <n v="30"/>
    <s v="Yes"/>
    <n v="20"/>
    <n v="20"/>
    <n v="45"/>
  </r>
  <r>
    <n v="3344"/>
    <x v="113"/>
    <x v="2"/>
    <x v="112"/>
    <x v="0"/>
    <n v="10"/>
    <x v="2"/>
    <x v="1"/>
    <s v="-"/>
    <s v="Yes"/>
    <n v="20"/>
    <n v="12"/>
    <n v="18"/>
  </r>
  <r>
    <n v="3345"/>
    <x v="114"/>
    <x v="1"/>
    <x v="113"/>
    <x v="1"/>
    <n v="5"/>
    <x v="0"/>
    <x v="1"/>
    <s v="-"/>
    <s v="No"/>
    <n v="0"/>
    <n v="2"/>
    <n v="3"/>
  </r>
  <r>
    <n v="3346"/>
    <x v="115"/>
    <x v="0"/>
    <x v="114"/>
    <x v="0"/>
    <n v="15"/>
    <x v="1"/>
    <x v="0"/>
    <n v="30"/>
    <s v="Yes"/>
    <n v="20"/>
    <n v="5"/>
    <n v="60"/>
  </r>
  <r>
    <n v="3347"/>
    <x v="116"/>
    <x v="2"/>
    <x v="115"/>
    <x v="1"/>
    <n v="10"/>
    <x v="0"/>
    <x v="1"/>
    <s v="-"/>
    <s v="Yes"/>
    <n v="20"/>
    <n v="10"/>
    <n v="20"/>
  </r>
  <r>
    <n v="3348"/>
    <x v="117"/>
    <x v="1"/>
    <x v="116"/>
    <x v="0"/>
    <n v="5"/>
    <x v="2"/>
    <x v="1"/>
    <s v="-"/>
    <s v="No"/>
    <n v="0"/>
    <n v="0"/>
    <n v="5"/>
  </r>
  <r>
    <n v="3349"/>
    <x v="93"/>
    <x v="0"/>
    <x v="117"/>
    <x v="1"/>
    <n v="15"/>
    <x v="0"/>
    <x v="0"/>
    <n v="30"/>
    <s v="Yes"/>
    <n v="20"/>
    <n v="3"/>
    <n v="62"/>
  </r>
  <r>
    <n v="3350"/>
    <x v="118"/>
    <x v="2"/>
    <x v="118"/>
    <x v="0"/>
    <n v="10"/>
    <x v="1"/>
    <x v="1"/>
    <s v="-"/>
    <s v="Yes"/>
    <n v="20"/>
    <n v="15"/>
    <n v="15"/>
  </r>
  <r>
    <n v="3351"/>
    <x v="119"/>
    <x v="1"/>
    <x v="119"/>
    <x v="1"/>
    <n v="5"/>
    <x v="0"/>
    <x v="1"/>
    <s v="-"/>
    <s v="No"/>
    <n v="0"/>
    <n v="1"/>
    <n v="4"/>
  </r>
  <r>
    <n v="3352"/>
    <x v="120"/>
    <x v="0"/>
    <x v="120"/>
    <x v="0"/>
    <n v="15"/>
    <x v="2"/>
    <x v="0"/>
    <n v="30"/>
    <s v="Yes"/>
    <n v="20"/>
    <n v="7"/>
    <n v="58"/>
  </r>
  <r>
    <n v="3353"/>
    <x v="121"/>
    <x v="2"/>
    <x v="121"/>
    <x v="1"/>
    <n v="10"/>
    <x v="0"/>
    <x v="1"/>
    <s v="-"/>
    <s v="Yes"/>
    <n v="20"/>
    <n v="10"/>
    <n v="20"/>
  </r>
  <r>
    <n v="3354"/>
    <x v="122"/>
    <x v="1"/>
    <x v="122"/>
    <x v="0"/>
    <n v="5"/>
    <x v="1"/>
    <x v="1"/>
    <s v="-"/>
    <s v="No"/>
    <n v="0"/>
    <n v="0"/>
    <n v="5"/>
  </r>
  <r>
    <n v="3355"/>
    <x v="123"/>
    <x v="0"/>
    <x v="123"/>
    <x v="1"/>
    <n v="15"/>
    <x v="0"/>
    <x v="0"/>
    <n v="30"/>
    <s v="Yes"/>
    <n v="20"/>
    <n v="20"/>
    <n v="45"/>
  </r>
  <r>
    <n v="3356"/>
    <x v="124"/>
    <x v="2"/>
    <x v="124"/>
    <x v="0"/>
    <n v="10"/>
    <x v="2"/>
    <x v="1"/>
    <s v="-"/>
    <s v="Yes"/>
    <n v="20"/>
    <n v="15"/>
    <n v="15"/>
  </r>
  <r>
    <n v="3357"/>
    <x v="125"/>
    <x v="1"/>
    <x v="125"/>
    <x v="1"/>
    <n v="5"/>
    <x v="0"/>
    <x v="1"/>
    <s v="-"/>
    <s v="No"/>
    <n v="0"/>
    <n v="1"/>
    <n v="4"/>
  </r>
  <r>
    <n v="3358"/>
    <x v="126"/>
    <x v="0"/>
    <x v="126"/>
    <x v="0"/>
    <n v="15"/>
    <x v="1"/>
    <x v="0"/>
    <n v="30"/>
    <s v="Yes"/>
    <n v="20"/>
    <n v="3"/>
    <n v="62"/>
  </r>
  <r>
    <n v="3359"/>
    <x v="127"/>
    <x v="2"/>
    <x v="127"/>
    <x v="1"/>
    <n v="10"/>
    <x v="0"/>
    <x v="1"/>
    <s v="-"/>
    <s v="Yes"/>
    <n v="20"/>
    <n v="10"/>
    <n v="20"/>
  </r>
  <r>
    <n v="3360"/>
    <x v="128"/>
    <x v="1"/>
    <x v="128"/>
    <x v="0"/>
    <n v="5"/>
    <x v="2"/>
    <x v="1"/>
    <s v="-"/>
    <s v="No"/>
    <n v="0"/>
    <n v="0"/>
    <n v="5"/>
  </r>
  <r>
    <n v="3361"/>
    <x v="129"/>
    <x v="0"/>
    <x v="129"/>
    <x v="1"/>
    <n v="15"/>
    <x v="0"/>
    <x v="0"/>
    <n v="30"/>
    <s v="Yes"/>
    <n v="20"/>
    <n v="15"/>
    <n v="50"/>
  </r>
  <r>
    <n v="3362"/>
    <x v="130"/>
    <x v="2"/>
    <x v="130"/>
    <x v="0"/>
    <n v="10"/>
    <x v="1"/>
    <x v="1"/>
    <s v="-"/>
    <s v="Yes"/>
    <n v="20"/>
    <n v="15"/>
    <n v="15"/>
  </r>
  <r>
    <n v="3363"/>
    <x v="131"/>
    <x v="1"/>
    <x v="131"/>
    <x v="1"/>
    <n v="5"/>
    <x v="0"/>
    <x v="1"/>
    <s v="-"/>
    <s v="No"/>
    <n v="0"/>
    <n v="1"/>
    <n v="4"/>
  </r>
  <r>
    <n v="3364"/>
    <x v="132"/>
    <x v="0"/>
    <x v="132"/>
    <x v="0"/>
    <n v="15"/>
    <x v="2"/>
    <x v="0"/>
    <n v="30"/>
    <s v="Yes"/>
    <n v="20"/>
    <n v="7"/>
    <n v="58"/>
  </r>
  <r>
    <n v="3365"/>
    <x v="133"/>
    <x v="2"/>
    <x v="133"/>
    <x v="1"/>
    <n v="10"/>
    <x v="0"/>
    <x v="1"/>
    <s v="-"/>
    <s v="Yes"/>
    <n v="20"/>
    <n v="10"/>
    <n v="20"/>
  </r>
  <r>
    <n v="3366"/>
    <x v="134"/>
    <x v="1"/>
    <x v="134"/>
    <x v="0"/>
    <n v="5"/>
    <x v="0"/>
    <x v="1"/>
    <s v="-"/>
    <s v="No"/>
    <n v="0"/>
    <n v="0"/>
    <n v="5"/>
  </r>
  <r>
    <n v="3367"/>
    <x v="135"/>
    <x v="0"/>
    <x v="135"/>
    <x v="1"/>
    <n v="15"/>
    <x v="2"/>
    <x v="0"/>
    <n v="30"/>
    <s v="Yes"/>
    <n v="20"/>
    <n v="7"/>
    <n v="58"/>
  </r>
  <r>
    <n v="3368"/>
    <x v="136"/>
    <x v="2"/>
    <x v="136"/>
    <x v="0"/>
    <n v="10"/>
    <x v="1"/>
    <x v="1"/>
    <s v="-"/>
    <s v="Yes"/>
    <n v="20"/>
    <n v="10"/>
    <n v="20"/>
  </r>
  <r>
    <n v="3369"/>
    <x v="137"/>
    <x v="1"/>
    <x v="137"/>
    <x v="1"/>
    <n v="5"/>
    <x v="2"/>
    <x v="1"/>
    <s v="-"/>
    <s v="No"/>
    <n v="0"/>
    <n v="1"/>
    <n v="4"/>
  </r>
  <r>
    <n v="3370"/>
    <x v="138"/>
    <x v="0"/>
    <x v="138"/>
    <x v="0"/>
    <n v="15"/>
    <x v="0"/>
    <x v="0"/>
    <n v="30"/>
    <s v="Yes"/>
    <n v="20"/>
    <n v="15"/>
    <n v="50"/>
  </r>
  <r>
    <n v="3371"/>
    <x v="139"/>
    <x v="2"/>
    <x v="139"/>
    <x v="1"/>
    <n v="10"/>
    <x v="0"/>
    <x v="1"/>
    <s v="-"/>
    <s v="Yes"/>
    <n v="20"/>
    <n v="5"/>
    <n v="25"/>
  </r>
  <r>
    <n v="3372"/>
    <x v="140"/>
    <x v="1"/>
    <x v="140"/>
    <x v="0"/>
    <n v="5"/>
    <x v="1"/>
    <x v="1"/>
    <s v="-"/>
    <s v="No"/>
    <n v="0"/>
    <n v="0"/>
    <n v="5"/>
  </r>
  <r>
    <n v="3373"/>
    <x v="141"/>
    <x v="0"/>
    <x v="141"/>
    <x v="1"/>
    <n v="15"/>
    <x v="2"/>
    <x v="0"/>
    <n v="30"/>
    <s v="Yes"/>
    <n v="20"/>
    <n v="20"/>
    <n v="45"/>
  </r>
  <r>
    <n v="3374"/>
    <x v="142"/>
    <x v="2"/>
    <x v="142"/>
    <x v="0"/>
    <n v="10"/>
    <x v="2"/>
    <x v="1"/>
    <s v="-"/>
    <s v="Yes"/>
    <n v="20"/>
    <n v="12"/>
    <n v="18"/>
  </r>
  <r>
    <n v="3375"/>
    <x v="143"/>
    <x v="1"/>
    <x v="143"/>
    <x v="1"/>
    <n v="5"/>
    <x v="0"/>
    <x v="1"/>
    <s v="-"/>
    <s v="No"/>
    <n v="0"/>
    <n v="2"/>
    <n v="3"/>
  </r>
  <r>
    <n v="3376"/>
    <x v="144"/>
    <x v="0"/>
    <x v="144"/>
    <x v="0"/>
    <n v="15"/>
    <x v="1"/>
    <x v="0"/>
    <n v="30"/>
    <s v="Yes"/>
    <n v="20"/>
    <n v="5"/>
    <n v="60"/>
  </r>
  <r>
    <n v="3377"/>
    <x v="145"/>
    <x v="2"/>
    <x v="145"/>
    <x v="1"/>
    <n v="10"/>
    <x v="0"/>
    <x v="1"/>
    <s v="-"/>
    <s v="Yes"/>
    <n v="20"/>
    <n v="10"/>
    <n v="20"/>
  </r>
  <r>
    <n v="3378"/>
    <x v="146"/>
    <x v="1"/>
    <x v="146"/>
    <x v="0"/>
    <n v="5"/>
    <x v="2"/>
    <x v="1"/>
    <s v="-"/>
    <s v="No"/>
    <n v="0"/>
    <n v="0"/>
    <n v="5"/>
  </r>
  <r>
    <n v="3379"/>
    <x v="147"/>
    <x v="0"/>
    <x v="147"/>
    <x v="1"/>
    <n v="15"/>
    <x v="0"/>
    <x v="0"/>
    <n v="30"/>
    <s v="Yes"/>
    <n v="20"/>
    <n v="3"/>
    <n v="62"/>
  </r>
  <r>
    <n v="3380"/>
    <x v="148"/>
    <x v="2"/>
    <x v="148"/>
    <x v="0"/>
    <n v="10"/>
    <x v="1"/>
    <x v="1"/>
    <s v="-"/>
    <s v="Yes"/>
    <n v="20"/>
    <n v="15"/>
    <n v="15"/>
  </r>
  <r>
    <n v="3381"/>
    <x v="149"/>
    <x v="1"/>
    <x v="149"/>
    <x v="1"/>
    <n v="5"/>
    <x v="0"/>
    <x v="1"/>
    <s v="-"/>
    <s v="No"/>
    <n v="0"/>
    <n v="1"/>
    <n v="4"/>
  </r>
  <r>
    <n v="3382"/>
    <x v="150"/>
    <x v="0"/>
    <x v="150"/>
    <x v="0"/>
    <n v="15"/>
    <x v="2"/>
    <x v="0"/>
    <n v="30"/>
    <s v="Yes"/>
    <n v="20"/>
    <n v="7"/>
    <n v="58"/>
  </r>
  <r>
    <n v="3383"/>
    <x v="151"/>
    <x v="2"/>
    <x v="151"/>
    <x v="1"/>
    <n v="10"/>
    <x v="0"/>
    <x v="1"/>
    <s v="-"/>
    <s v="Yes"/>
    <n v="20"/>
    <n v="10"/>
    <n v="20"/>
  </r>
  <r>
    <n v="3384"/>
    <x v="152"/>
    <x v="1"/>
    <x v="152"/>
    <x v="0"/>
    <n v="5"/>
    <x v="1"/>
    <x v="1"/>
    <s v="-"/>
    <s v="No"/>
    <n v="0"/>
    <n v="0"/>
    <n v="5"/>
  </r>
  <r>
    <n v="3385"/>
    <x v="153"/>
    <x v="0"/>
    <x v="153"/>
    <x v="1"/>
    <n v="15"/>
    <x v="0"/>
    <x v="0"/>
    <n v="30"/>
    <s v="Yes"/>
    <n v="20"/>
    <n v="20"/>
    <n v="45"/>
  </r>
  <r>
    <n v="3386"/>
    <x v="154"/>
    <x v="2"/>
    <x v="154"/>
    <x v="0"/>
    <n v="10"/>
    <x v="2"/>
    <x v="1"/>
    <s v="-"/>
    <s v="Yes"/>
    <n v="20"/>
    <n v="15"/>
    <n v="15"/>
  </r>
  <r>
    <n v="3387"/>
    <x v="155"/>
    <x v="1"/>
    <x v="155"/>
    <x v="1"/>
    <n v="5"/>
    <x v="0"/>
    <x v="1"/>
    <s v="-"/>
    <s v="No"/>
    <n v="0"/>
    <n v="1"/>
    <n v="4"/>
  </r>
  <r>
    <n v="3388"/>
    <x v="156"/>
    <x v="0"/>
    <x v="156"/>
    <x v="0"/>
    <n v="15"/>
    <x v="1"/>
    <x v="0"/>
    <n v="30"/>
    <s v="Yes"/>
    <n v="20"/>
    <n v="3"/>
    <n v="62"/>
  </r>
  <r>
    <n v="3389"/>
    <x v="157"/>
    <x v="2"/>
    <x v="157"/>
    <x v="1"/>
    <n v="10"/>
    <x v="0"/>
    <x v="1"/>
    <s v="-"/>
    <s v="Yes"/>
    <n v="20"/>
    <n v="10"/>
    <n v="20"/>
  </r>
  <r>
    <n v="3390"/>
    <x v="158"/>
    <x v="1"/>
    <x v="158"/>
    <x v="0"/>
    <n v="5"/>
    <x v="2"/>
    <x v="1"/>
    <s v="-"/>
    <s v="No"/>
    <n v="0"/>
    <n v="0"/>
    <n v="5"/>
  </r>
  <r>
    <n v="3391"/>
    <x v="58"/>
    <x v="0"/>
    <x v="159"/>
    <x v="1"/>
    <n v="15"/>
    <x v="0"/>
    <x v="0"/>
    <n v="30"/>
    <s v="Yes"/>
    <n v="20"/>
    <n v="15"/>
    <n v="50"/>
  </r>
  <r>
    <n v="3392"/>
    <x v="159"/>
    <x v="2"/>
    <x v="160"/>
    <x v="0"/>
    <n v="10"/>
    <x v="1"/>
    <x v="1"/>
    <s v="-"/>
    <s v="Yes"/>
    <n v="20"/>
    <n v="15"/>
    <n v="15"/>
  </r>
  <r>
    <n v="3393"/>
    <x v="160"/>
    <x v="1"/>
    <x v="161"/>
    <x v="1"/>
    <n v="5"/>
    <x v="0"/>
    <x v="1"/>
    <s v="-"/>
    <s v="No"/>
    <n v="0"/>
    <n v="1"/>
    <n v="4"/>
  </r>
  <r>
    <n v="3394"/>
    <x v="161"/>
    <x v="0"/>
    <x v="162"/>
    <x v="0"/>
    <n v="15"/>
    <x v="2"/>
    <x v="0"/>
    <n v="30"/>
    <s v="Yes"/>
    <n v="20"/>
    <n v="7"/>
    <n v="58"/>
  </r>
  <r>
    <n v="3395"/>
    <x v="162"/>
    <x v="2"/>
    <x v="163"/>
    <x v="1"/>
    <n v="10"/>
    <x v="0"/>
    <x v="1"/>
    <s v="-"/>
    <s v="Yes"/>
    <n v="20"/>
    <n v="10"/>
    <n v="20"/>
  </r>
  <r>
    <n v="3396"/>
    <x v="163"/>
    <x v="1"/>
    <x v="164"/>
    <x v="0"/>
    <n v="5"/>
    <x v="1"/>
    <x v="1"/>
    <s v="-"/>
    <s v="No"/>
    <n v="0"/>
    <n v="0"/>
    <n v="5"/>
  </r>
  <r>
    <n v="3397"/>
    <x v="90"/>
    <x v="0"/>
    <x v="165"/>
    <x v="1"/>
    <n v="15"/>
    <x v="0"/>
    <x v="0"/>
    <n v="30"/>
    <s v="Yes"/>
    <n v="20"/>
    <n v="20"/>
    <n v="45"/>
  </r>
  <r>
    <n v="3398"/>
    <x v="164"/>
    <x v="2"/>
    <x v="166"/>
    <x v="0"/>
    <n v="10"/>
    <x v="2"/>
    <x v="1"/>
    <s v="-"/>
    <s v="Yes"/>
    <n v="20"/>
    <n v="15"/>
    <n v="15"/>
  </r>
  <r>
    <n v="3399"/>
    <x v="165"/>
    <x v="1"/>
    <x v="167"/>
    <x v="1"/>
    <n v="5"/>
    <x v="0"/>
    <x v="1"/>
    <s v="-"/>
    <s v="No"/>
    <n v="0"/>
    <n v="1"/>
    <n v="4"/>
  </r>
  <r>
    <n v="3400"/>
    <x v="166"/>
    <x v="0"/>
    <x v="168"/>
    <x v="0"/>
    <n v="15"/>
    <x v="1"/>
    <x v="0"/>
    <n v="30"/>
    <s v="Yes"/>
    <n v="20"/>
    <n v="5"/>
    <n v="60"/>
  </r>
  <r>
    <n v="3401"/>
    <x v="167"/>
    <x v="2"/>
    <x v="169"/>
    <x v="1"/>
    <n v="10"/>
    <x v="0"/>
    <x v="1"/>
    <s v="-"/>
    <s v="Yes"/>
    <n v="20"/>
    <n v="10"/>
    <n v="20"/>
  </r>
  <r>
    <n v="3402"/>
    <x v="168"/>
    <x v="1"/>
    <x v="170"/>
    <x v="0"/>
    <n v="5"/>
    <x v="2"/>
    <x v="1"/>
    <s v="-"/>
    <s v="No"/>
    <n v="0"/>
    <n v="0"/>
    <n v="5"/>
  </r>
  <r>
    <n v="3403"/>
    <x v="169"/>
    <x v="0"/>
    <x v="171"/>
    <x v="1"/>
    <n v="15"/>
    <x v="0"/>
    <x v="0"/>
    <n v="30"/>
    <s v="Yes"/>
    <n v="20"/>
    <n v="3"/>
    <n v="62"/>
  </r>
  <r>
    <n v="3404"/>
    <x v="170"/>
    <x v="2"/>
    <x v="172"/>
    <x v="0"/>
    <n v="10"/>
    <x v="1"/>
    <x v="1"/>
    <s v="-"/>
    <s v="Yes"/>
    <n v="20"/>
    <n v="15"/>
    <n v="15"/>
  </r>
  <r>
    <n v="3405"/>
    <x v="171"/>
    <x v="1"/>
    <x v="173"/>
    <x v="1"/>
    <n v="5"/>
    <x v="0"/>
    <x v="1"/>
    <s v="-"/>
    <s v="No"/>
    <n v="0"/>
    <n v="1"/>
    <n v="4"/>
  </r>
  <r>
    <n v="3406"/>
    <x v="172"/>
    <x v="1"/>
    <x v="174"/>
    <x v="0"/>
    <n v="5"/>
    <x v="0"/>
    <x v="1"/>
    <s v="-"/>
    <s v="No"/>
    <n v="0"/>
    <n v="0"/>
    <n v="5"/>
  </r>
  <r>
    <n v="3407"/>
    <x v="173"/>
    <x v="0"/>
    <x v="175"/>
    <x v="1"/>
    <n v="15"/>
    <x v="2"/>
    <x v="0"/>
    <n v="30"/>
    <s v="Yes"/>
    <n v="20"/>
    <n v="7"/>
    <n v="58"/>
  </r>
  <r>
    <n v="3408"/>
    <x v="174"/>
    <x v="2"/>
    <x v="176"/>
    <x v="0"/>
    <n v="10"/>
    <x v="1"/>
    <x v="1"/>
    <s v="-"/>
    <s v="Yes"/>
    <n v="20"/>
    <n v="10"/>
    <n v="20"/>
  </r>
  <r>
    <n v="3409"/>
    <x v="175"/>
    <x v="1"/>
    <x v="177"/>
    <x v="1"/>
    <n v="5"/>
    <x v="2"/>
    <x v="1"/>
    <s v="-"/>
    <s v="No"/>
    <n v="0"/>
    <n v="1"/>
    <n v="4"/>
  </r>
  <r>
    <n v="3410"/>
    <x v="176"/>
    <x v="0"/>
    <x v="178"/>
    <x v="0"/>
    <n v="15"/>
    <x v="0"/>
    <x v="0"/>
    <n v="30"/>
    <s v="Yes"/>
    <n v="20"/>
    <n v="15"/>
    <n v="50"/>
  </r>
  <r>
    <n v="3411"/>
    <x v="177"/>
    <x v="2"/>
    <x v="179"/>
    <x v="1"/>
    <n v="10"/>
    <x v="0"/>
    <x v="1"/>
    <s v="-"/>
    <s v="Yes"/>
    <n v="20"/>
    <n v="5"/>
    <n v="25"/>
  </r>
  <r>
    <n v="3412"/>
    <x v="178"/>
    <x v="1"/>
    <x v="180"/>
    <x v="0"/>
    <n v="5"/>
    <x v="1"/>
    <x v="1"/>
    <s v="-"/>
    <s v="No"/>
    <n v="0"/>
    <n v="0"/>
    <n v="5"/>
  </r>
  <r>
    <n v="3413"/>
    <x v="179"/>
    <x v="0"/>
    <x v="181"/>
    <x v="1"/>
    <n v="15"/>
    <x v="2"/>
    <x v="0"/>
    <n v="30"/>
    <s v="Yes"/>
    <n v="20"/>
    <n v="20"/>
    <n v="45"/>
  </r>
  <r>
    <n v="3414"/>
    <x v="180"/>
    <x v="2"/>
    <x v="182"/>
    <x v="0"/>
    <n v="10"/>
    <x v="2"/>
    <x v="1"/>
    <s v="-"/>
    <s v="Yes"/>
    <n v="20"/>
    <n v="12"/>
    <n v="18"/>
  </r>
  <r>
    <n v="3415"/>
    <x v="181"/>
    <x v="1"/>
    <x v="183"/>
    <x v="1"/>
    <n v="5"/>
    <x v="0"/>
    <x v="1"/>
    <s v="-"/>
    <s v="No"/>
    <n v="0"/>
    <n v="2"/>
    <n v="3"/>
  </r>
  <r>
    <n v="3416"/>
    <x v="182"/>
    <x v="0"/>
    <x v="184"/>
    <x v="0"/>
    <n v="15"/>
    <x v="1"/>
    <x v="0"/>
    <n v="30"/>
    <s v="Yes"/>
    <n v="20"/>
    <n v="5"/>
    <n v="60"/>
  </r>
  <r>
    <n v="3417"/>
    <x v="183"/>
    <x v="2"/>
    <x v="185"/>
    <x v="1"/>
    <n v="10"/>
    <x v="0"/>
    <x v="1"/>
    <s v="-"/>
    <s v="Yes"/>
    <n v="20"/>
    <n v="10"/>
    <n v="20"/>
  </r>
  <r>
    <n v="3418"/>
    <x v="184"/>
    <x v="1"/>
    <x v="186"/>
    <x v="0"/>
    <n v="5"/>
    <x v="2"/>
    <x v="1"/>
    <s v="-"/>
    <s v="No"/>
    <n v="0"/>
    <n v="0"/>
    <n v="5"/>
  </r>
  <r>
    <n v="3419"/>
    <x v="185"/>
    <x v="0"/>
    <x v="187"/>
    <x v="1"/>
    <n v="15"/>
    <x v="0"/>
    <x v="0"/>
    <n v="30"/>
    <s v="Yes"/>
    <n v="20"/>
    <n v="3"/>
    <n v="62"/>
  </r>
  <r>
    <n v="3420"/>
    <x v="186"/>
    <x v="2"/>
    <x v="188"/>
    <x v="0"/>
    <n v="10"/>
    <x v="1"/>
    <x v="1"/>
    <s v="-"/>
    <s v="Yes"/>
    <n v="20"/>
    <n v="15"/>
    <n v="15"/>
  </r>
  <r>
    <n v="3421"/>
    <x v="15"/>
    <x v="1"/>
    <x v="189"/>
    <x v="1"/>
    <n v="5"/>
    <x v="0"/>
    <x v="1"/>
    <s v="-"/>
    <s v="No"/>
    <n v="0"/>
    <n v="1"/>
    <n v="4"/>
  </r>
  <r>
    <n v="3422"/>
    <x v="187"/>
    <x v="0"/>
    <x v="190"/>
    <x v="0"/>
    <n v="15"/>
    <x v="2"/>
    <x v="0"/>
    <n v="30"/>
    <s v="Yes"/>
    <n v="20"/>
    <n v="7"/>
    <n v="58"/>
  </r>
  <r>
    <n v="3423"/>
    <x v="188"/>
    <x v="2"/>
    <x v="191"/>
    <x v="1"/>
    <n v="10"/>
    <x v="0"/>
    <x v="1"/>
    <s v="-"/>
    <s v="Yes"/>
    <n v="20"/>
    <n v="10"/>
    <n v="20"/>
  </r>
  <r>
    <n v="3424"/>
    <x v="14"/>
    <x v="1"/>
    <x v="192"/>
    <x v="0"/>
    <n v="5"/>
    <x v="1"/>
    <x v="1"/>
    <s v="-"/>
    <s v="No"/>
    <n v="0"/>
    <n v="0"/>
    <n v="5"/>
  </r>
  <r>
    <n v="3425"/>
    <x v="189"/>
    <x v="0"/>
    <x v="193"/>
    <x v="1"/>
    <n v="15"/>
    <x v="0"/>
    <x v="0"/>
    <n v="30"/>
    <s v="Yes"/>
    <n v="20"/>
    <n v="20"/>
    <n v="45"/>
  </r>
  <r>
    <n v="3426"/>
    <x v="167"/>
    <x v="2"/>
    <x v="194"/>
    <x v="0"/>
    <n v="10"/>
    <x v="2"/>
    <x v="1"/>
    <s v="-"/>
    <s v="Yes"/>
    <n v="20"/>
    <n v="15"/>
    <n v="15"/>
  </r>
  <r>
    <n v="3427"/>
    <x v="190"/>
    <x v="1"/>
    <x v="195"/>
    <x v="1"/>
    <n v="5"/>
    <x v="0"/>
    <x v="1"/>
    <s v="-"/>
    <s v="No"/>
    <n v="0"/>
    <n v="1"/>
    <n v="4"/>
  </r>
  <r>
    <n v="3428"/>
    <x v="191"/>
    <x v="0"/>
    <x v="196"/>
    <x v="0"/>
    <n v="15"/>
    <x v="1"/>
    <x v="0"/>
    <n v="30"/>
    <s v="Yes"/>
    <n v="20"/>
    <n v="3"/>
    <n v="62"/>
  </r>
  <r>
    <n v="3429"/>
    <x v="192"/>
    <x v="2"/>
    <x v="197"/>
    <x v="1"/>
    <n v="10"/>
    <x v="0"/>
    <x v="1"/>
    <s v="-"/>
    <s v="Yes"/>
    <n v="20"/>
    <n v="10"/>
    <n v="20"/>
  </r>
  <r>
    <n v="3430"/>
    <x v="193"/>
    <x v="1"/>
    <x v="198"/>
    <x v="0"/>
    <n v="5"/>
    <x v="2"/>
    <x v="1"/>
    <s v="-"/>
    <s v="No"/>
    <n v="0"/>
    <n v="0"/>
    <n v="5"/>
  </r>
  <r>
    <n v="3431"/>
    <x v="194"/>
    <x v="0"/>
    <x v="199"/>
    <x v="1"/>
    <n v="15"/>
    <x v="0"/>
    <x v="0"/>
    <n v="30"/>
    <s v="Yes"/>
    <n v="20"/>
    <n v="15"/>
    <n v="50"/>
  </r>
  <r>
    <n v="3432"/>
    <x v="195"/>
    <x v="2"/>
    <x v="200"/>
    <x v="0"/>
    <n v="10"/>
    <x v="1"/>
    <x v="1"/>
    <s v="-"/>
    <s v="Yes"/>
    <n v="20"/>
    <n v="15"/>
    <n v="15"/>
  </r>
  <r>
    <n v="3433"/>
    <x v="196"/>
    <x v="1"/>
    <x v="201"/>
    <x v="1"/>
    <n v="5"/>
    <x v="0"/>
    <x v="1"/>
    <s v="-"/>
    <s v="No"/>
    <n v="0"/>
    <n v="1"/>
    <n v="4"/>
  </r>
  <r>
    <n v="3434"/>
    <x v="197"/>
    <x v="0"/>
    <x v="202"/>
    <x v="0"/>
    <n v="15"/>
    <x v="2"/>
    <x v="0"/>
    <n v="30"/>
    <s v="Yes"/>
    <n v="20"/>
    <n v="7"/>
    <n v="58"/>
  </r>
  <r>
    <n v="3435"/>
    <x v="198"/>
    <x v="2"/>
    <x v="203"/>
    <x v="1"/>
    <n v="10"/>
    <x v="0"/>
    <x v="1"/>
    <s v="-"/>
    <s v="Yes"/>
    <n v="20"/>
    <n v="10"/>
    <n v="20"/>
  </r>
  <r>
    <n v="3436"/>
    <x v="199"/>
    <x v="1"/>
    <x v="204"/>
    <x v="0"/>
    <n v="5"/>
    <x v="0"/>
    <x v="1"/>
    <s v="-"/>
    <s v="No"/>
    <n v="0"/>
    <n v="0"/>
    <n v="5"/>
  </r>
  <r>
    <n v="3437"/>
    <x v="200"/>
    <x v="0"/>
    <x v="205"/>
    <x v="1"/>
    <n v="15"/>
    <x v="2"/>
    <x v="0"/>
    <n v="30"/>
    <s v="Yes"/>
    <n v="20"/>
    <n v="7"/>
    <n v="58"/>
  </r>
  <r>
    <n v="3438"/>
    <x v="201"/>
    <x v="2"/>
    <x v="206"/>
    <x v="0"/>
    <n v="10"/>
    <x v="1"/>
    <x v="1"/>
    <s v="-"/>
    <s v="Yes"/>
    <n v="20"/>
    <n v="10"/>
    <n v="20"/>
  </r>
  <r>
    <n v="3439"/>
    <x v="202"/>
    <x v="1"/>
    <x v="207"/>
    <x v="1"/>
    <n v="5"/>
    <x v="2"/>
    <x v="1"/>
    <s v="-"/>
    <s v="No"/>
    <n v="0"/>
    <n v="1"/>
    <n v="4"/>
  </r>
  <r>
    <n v="3440"/>
    <x v="203"/>
    <x v="0"/>
    <x v="208"/>
    <x v="0"/>
    <n v="15"/>
    <x v="0"/>
    <x v="0"/>
    <n v="30"/>
    <s v="Yes"/>
    <n v="20"/>
    <n v="15"/>
    <n v="50"/>
  </r>
  <r>
    <n v="3441"/>
    <x v="204"/>
    <x v="2"/>
    <x v="209"/>
    <x v="1"/>
    <n v="10"/>
    <x v="0"/>
    <x v="1"/>
    <s v="-"/>
    <s v="Yes"/>
    <n v="20"/>
    <n v="5"/>
    <n v="25"/>
  </r>
  <r>
    <n v="3442"/>
    <x v="205"/>
    <x v="1"/>
    <x v="210"/>
    <x v="0"/>
    <n v="5"/>
    <x v="1"/>
    <x v="1"/>
    <s v="-"/>
    <s v="No"/>
    <n v="0"/>
    <n v="0"/>
    <n v="5"/>
  </r>
  <r>
    <n v="3443"/>
    <x v="206"/>
    <x v="0"/>
    <x v="211"/>
    <x v="1"/>
    <n v="15"/>
    <x v="2"/>
    <x v="0"/>
    <n v="30"/>
    <s v="Yes"/>
    <n v="20"/>
    <n v="20"/>
    <n v="45"/>
  </r>
  <r>
    <n v="3444"/>
    <x v="207"/>
    <x v="2"/>
    <x v="212"/>
    <x v="0"/>
    <n v="10"/>
    <x v="2"/>
    <x v="1"/>
    <s v="-"/>
    <s v="Yes"/>
    <n v="20"/>
    <n v="12"/>
    <n v="18"/>
  </r>
  <r>
    <n v="3445"/>
    <x v="37"/>
    <x v="1"/>
    <x v="213"/>
    <x v="1"/>
    <n v="5"/>
    <x v="0"/>
    <x v="1"/>
    <s v="-"/>
    <s v="No"/>
    <n v="0"/>
    <n v="2"/>
    <n v="3"/>
  </r>
  <r>
    <n v="3446"/>
    <x v="208"/>
    <x v="0"/>
    <x v="214"/>
    <x v="0"/>
    <n v="15"/>
    <x v="1"/>
    <x v="0"/>
    <n v="30"/>
    <s v="Yes"/>
    <n v="20"/>
    <n v="5"/>
    <n v="60"/>
  </r>
  <r>
    <n v="3447"/>
    <x v="209"/>
    <x v="2"/>
    <x v="215"/>
    <x v="1"/>
    <n v="10"/>
    <x v="0"/>
    <x v="1"/>
    <s v="-"/>
    <s v="Yes"/>
    <n v="20"/>
    <n v="10"/>
    <n v="20"/>
  </r>
  <r>
    <n v="3448"/>
    <x v="210"/>
    <x v="1"/>
    <x v="216"/>
    <x v="0"/>
    <n v="5"/>
    <x v="2"/>
    <x v="1"/>
    <s v="-"/>
    <s v="No"/>
    <n v="0"/>
    <n v="0"/>
    <n v="5"/>
  </r>
  <r>
    <n v="3449"/>
    <x v="211"/>
    <x v="0"/>
    <x v="217"/>
    <x v="1"/>
    <n v="15"/>
    <x v="0"/>
    <x v="0"/>
    <n v="30"/>
    <s v="Yes"/>
    <n v="20"/>
    <n v="3"/>
    <n v="62"/>
  </r>
  <r>
    <n v="3450"/>
    <x v="212"/>
    <x v="2"/>
    <x v="218"/>
    <x v="0"/>
    <n v="10"/>
    <x v="1"/>
    <x v="1"/>
    <s v="-"/>
    <s v="Yes"/>
    <n v="20"/>
    <n v="15"/>
    <n v="15"/>
  </r>
  <r>
    <n v="3451"/>
    <x v="213"/>
    <x v="1"/>
    <x v="219"/>
    <x v="1"/>
    <n v="5"/>
    <x v="0"/>
    <x v="1"/>
    <s v="-"/>
    <s v="No"/>
    <n v="0"/>
    <n v="1"/>
    <n v="4"/>
  </r>
  <r>
    <n v="3452"/>
    <x v="191"/>
    <x v="0"/>
    <x v="220"/>
    <x v="0"/>
    <n v="15"/>
    <x v="2"/>
    <x v="0"/>
    <n v="30"/>
    <s v="Yes"/>
    <n v="20"/>
    <n v="7"/>
    <n v="58"/>
  </r>
  <r>
    <n v="3453"/>
    <x v="45"/>
    <x v="2"/>
    <x v="221"/>
    <x v="1"/>
    <n v="10"/>
    <x v="0"/>
    <x v="1"/>
    <s v="-"/>
    <s v="Yes"/>
    <n v="20"/>
    <n v="10"/>
    <n v="20"/>
  </r>
  <r>
    <n v="3454"/>
    <x v="214"/>
    <x v="1"/>
    <x v="222"/>
    <x v="0"/>
    <n v="5"/>
    <x v="1"/>
    <x v="1"/>
    <s v="-"/>
    <s v="No"/>
    <n v="0"/>
    <n v="0"/>
    <n v="5"/>
  </r>
  <r>
    <n v="3455"/>
    <x v="215"/>
    <x v="0"/>
    <x v="223"/>
    <x v="1"/>
    <n v="15"/>
    <x v="0"/>
    <x v="0"/>
    <n v="30"/>
    <s v="Yes"/>
    <n v="20"/>
    <n v="20"/>
    <n v="45"/>
  </r>
  <r>
    <n v="3456"/>
    <x v="216"/>
    <x v="2"/>
    <x v="224"/>
    <x v="0"/>
    <n v="10"/>
    <x v="2"/>
    <x v="1"/>
    <s v="-"/>
    <s v="Yes"/>
    <n v="20"/>
    <n v="15"/>
    <n v="15"/>
  </r>
  <r>
    <n v="3457"/>
    <x v="217"/>
    <x v="1"/>
    <x v="225"/>
    <x v="1"/>
    <n v="5"/>
    <x v="0"/>
    <x v="1"/>
    <s v="-"/>
    <s v="No"/>
    <n v="0"/>
    <n v="1"/>
    <n v="4"/>
  </r>
  <r>
    <n v="3458"/>
    <x v="218"/>
    <x v="0"/>
    <x v="226"/>
    <x v="0"/>
    <n v="15"/>
    <x v="1"/>
    <x v="0"/>
    <n v="30"/>
    <s v="Yes"/>
    <n v="20"/>
    <n v="3"/>
    <n v="62"/>
  </r>
  <r>
    <n v="3459"/>
    <x v="219"/>
    <x v="2"/>
    <x v="227"/>
    <x v="1"/>
    <n v="10"/>
    <x v="0"/>
    <x v="1"/>
    <s v="-"/>
    <s v="Yes"/>
    <n v="20"/>
    <n v="10"/>
    <n v="20"/>
  </r>
  <r>
    <n v="3460"/>
    <x v="127"/>
    <x v="1"/>
    <x v="228"/>
    <x v="0"/>
    <n v="5"/>
    <x v="2"/>
    <x v="1"/>
    <s v="-"/>
    <s v="No"/>
    <n v="0"/>
    <n v="0"/>
    <n v="5"/>
  </r>
  <r>
    <n v="3461"/>
    <x v="220"/>
    <x v="0"/>
    <x v="229"/>
    <x v="1"/>
    <n v="15"/>
    <x v="0"/>
    <x v="0"/>
    <n v="30"/>
    <s v="Yes"/>
    <n v="20"/>
    <n v="15"/>
    <n v="50"/>
  </r>
  <r>
    <n v="3462"/>
    <x v="221"/>
    <x v="2"/>
    <x v="230"/>
    <x v="0"/>
    <n v="10"/>
    <x v="1"/>
    <x v="1"/>
    <s v="-"/>
    <s v="Yes"/>
    <n v="20"/>
    <n v="15"/>
    <n v="15"/>
  </r>
  <r>
    <n v="3463"/>
    <x v="222"/>
    <x v="1"/>
    <x v="231"/>
    <x v="1"/>
    <n v="5"/>
    <x v="0"/>
    <x v="1"/>
    <s v="-"/>
    <s v="No"/>
    <n v="0"/>
    <n v="1"/>
    <n v="4"/>
  </r>
  <r>
    <n v="3464"/>
    <x v="223"/>
    <x v="0"/>
    <x v="232"/>
    <x v="0"/>
    <n v="15"/>
    <x v="2"/>
    <x v="0"/>
    <n v="30"/>
    <s v="Yes"/>
    <n v="20"/>
    <n v="7"/>
    <n v="58"/>
  </r>
  <r>
    <n v="3465"/>
    <x v="224"/>
    <x v="2"/>
    <x v="233"/>
    <x v="1"/>
    <n v="10"/>
    <x v="0"/>
    <x v="1"/>
    <s v="-"/>
    <s v="Yes"/>
    <n v="20"/>
    <n v="10"/>
    <n v="20"/>
  </r>
  <r>
    <n v="3466"/>
    <x v="225"/>
    <x v="1"/>
    <x v="234"/>
    <x v="0"/>
    <n v="5"/>
    <x v="1"/>
    <x v="1"/>
    <s v="-"/>
    <s v="No"/>
    <n v="0"/>
    <n v="0"/>
    <n v="5"/>
  </r>
  <r>
    <n v="3467"/>
    <x v="226"/>
    <x v="0"/>
    <x v="235"/>
    <x v="1"/>
    <n v="15"/>
    <x v="0"/>
    <x v="0"/>
    <n v="30"/>
    <s v="Yes"/>
    <n v="20"/>
    <n v="15"/>
    <n v="50"/>
  </r>
  <r>
    <n v="3468"/>
    <x v="227"/>
    <x v="2"/>
    <x v="236"/>
    <x v="0"/>
    <n v="10"/>
    <x v="2"/>
    <x v="1"/>
    <s v="-"/>
    <s v="Yes"/>
    <n v="20"/>
    <n v="12"/>
    <n v="18"/>
  </r>
  <r>
    <n v="3469"/>
    <x v="228"/>
    <x v="1"/>
    <x v="237"/>
    <x v="1"/>
    <n v="5"/>
    <x v="0"/>
    <x v="1"/>
    <s v="-"/>
    <s v="No"/>
    <n v="0"/>
    <n v="2"/>
    <n v="3"/>
  </r>
  <r>
    <n v="3470"/>
    <x v="229"/>
    <x v="0"/>
    <x v="238"/>
    <x v="0"/>
    <n v="15"/>
    <x v="1"/>
    <x v="0"/>
    <n v="30"/>
    <s v="Yes"/>
    <n v="20"/>
    <n v="5"/>
    <n v="60"/>
  </r>
  <r>
    <n v="3471"/>
    <x v="230"/>
    <x v="2"/>
    <x v="239"/>
    <x v="1"/>
    <n v="10"/>
    <x v="0"/>
    <x v="1"/>
    <s v="-"/>
    <s v="Yes"/>
    <n v="20"/>
    <n v="10"/>
    <n v="20"/>
  </r>
  <r>
    <n v="3472"/>
    <x v="231"/>
    <x v="1"/>
    <x v="240"/>
    <x v="0"/>
    <n v="5"/>
    <x v="2"/>
    <x v="1"/>
    <s v="-"/>
    <s v="No"/>
    <n v="0"/>
    <n v="0"/>
    <n v="5"/>
  </r>
  <r>
    <n v="3473"/>
    <x v="140"/>
    <x v="0"/>
    <x v="241"/>
    <x v="1"/>
    <n v="15"/>
    <x v="0"/>
    <x v="0"/>
    <n v="30"/>
    <s v="Yes"/>
    <n v="20"/>
    <n v="3"/>
    <n v="62"/>
  </r>
  <r>
    <n v="3474"/>
    <x v="232"/>
    <x v="2"/>
    <x v="242"/>
    <x v="0"/>
    <n v="10"/>
    <x v="1"/>
    <x v="1"/>
    <s v="-"/>
    <s v="Yes"/>
    <n v="20"/>
    <n v="15"/>
    <n v="15"/>
  </r>
  <r>
    <n v="3475"/>
    <x v="233"/>
    <x v="1"/>
    <x v="243"/>
    <x v="1"/>
    <n v="5"/>
    <x v="0"/>
    <x v="1"/>
    <s v="-"/>
    <s v="No"/>
    <n v="0"/>
    <n v="1"/>
    <n v="4"/>
  </r>
  <r>
    <n v="3476"/>
    <x v="234"/>
    <x v="0"/>
    <x v="244"/>
    <x v="0"/>
    <n v="15"/>
    <x v="2"/>
    <x v="0"/>
    <n v="30"/>
    <s v="Yes"/>
    <n v="20"/>
    <n v="7"/>
    <n v="58"/>
  </r>
  <r>
    <n v="3477"/>
    <x v="235"/>
    <x v="2"/>
    <x v="245"/>
    <x v="1"/>
    <n v="10"/>
    <x v="0"/>
    <x v="1"/>
    <s v="-"/>
    <s v="Yes"/>
    <n v="20"/>
    <n v="10"/>
    <n v="20"/>
  </r>
  <r>
    <n v="3478"/>
    <x v="236"/>
    <x v="1"/>
    <x v="246"/>
    <x v="0"/>
    <n v="5"/>
    <x v="1"/>
    <x v="1"/>
    <s v="-"/>
    <s v="No"/>
    <n v="0"/>
    <n v="0"/>
    <n v="5"/>
  </r>
  <r>
    <n v="3479"/>
    <x v="237"/>
    <x v="0"/>
    <x v="247"/>
    <x v="1"/>
    <n v="15"/>
    <x v="0"/>
    <x v="0"/>
    <n v="30"/>
    <s v="Yes"/>
    <n v="20"/>
    <n v="20"/>
    <n v="45"/>
  </r>
  <r>
    <n v="3480"/>
    <x v="238"/>
    <x v="2"/>
    <x v="248"/>
    <x v="0"/>
    <n v="10"/>
    <x v="2"/>
    <x v="1"/>
    <s v="-"/>
    <s v="Yes"/>
    <n v="20"/>
    <n v="15"/>
    <n v="15"/>
  </r>
  <r>
    <n v="3481"/>
    <x v="239"/>
    <x v="1"/>
    <x v="249"/>
    <x v="1"/>
    <n v="5"/>
    <x v="0"/>
    <x v="1"/>
    <s v="-"/>
    <s v="No"/>
    <n v="0"/>
    <n v="1"/>
    <n v="4"/>
  </r>
  <r>
    <n v="3482"/>
    <x v="240"/>
    <x v="0"/>
    <x v="250"/>
    <x v="0"/>
    <n v="15"/>
    <x v="1"/>
    <x v="0"/>
    <n v="30"/>
    <s v="Yes"/>
    <n v="20"/>
    <n v="3"/>
    <n v="62"/>
  </r>
  <r>
    <n v="3483"/>
    <x v="241"/>
    <x v="2"/>
    <x v="251"/>
    <x v="1"/>
    <n v="10"/>
    <x v="0"/>
    <x v="1"/>
    <s v="-"/>
    <s v="Yes"/>
    <n v="20"/>
    <n v="10"/>
    <n v="20"/>
  </r>
  <r>
    <n v="3484"/>
    <x v="242"/>
    <x v="1"/>
    <x v="252"/>
    <x v="0"/>
    <n v="5"/>
    <x v="2"/>
    <x v="1"/>
    <s v="-"/>
    <s v="No"/>
    <n v="0"/>
    <n v="0"/>
    <n v="5"/>
  </r>
  <r>
    <n v="3485"/>
    <x v="243"/>
    <x v="0"/>
    <x v="253"/>
    <x v="1"/>
    <n v="15"/>
    <x v="0"/>
    <x v="0"/>
    <n v="30"/>
    <s v="Yes"/>
    <n v="20"/>
    <n v="15"/>
    <n v="50"/>
  </r>
  <r>
    <n v="3486"/>
    <x v="244"/>
    <x v="1"/>
    <x v="254"/>
    <x v="0"/>
    <n v="5"/>
    <x v="0"/>
    <x v="1"/>
    <s v="-"/>
    <s v="No"/>
    <n v="0"/>
    <n v="0"/>
    <n v="5"/>
  </r>
  <r>
    <n v="3487"/>
    <x v="245"/>
    <x v="0"/>
    <x v="255"/>
    <x v="1"/>
    <n v="15"/>
    <x v="2"/>
    <x v="0"/>
    <n v="30"/>
    <s v="Yes"/>
    <n v="20"/>
    <n v="7"/>
    <n v="58"/>
  </r>
  <r>
    <n v="3488"/>
    <x v="246"/>
    <x v="2"/>
    <x v="256"/>
    <x v="0"/>
    <n v="10"/>
    <x v="1"/>
    <x v="1"/>
    <s v="-"/>
    <s v="Yes"/>
    <n v="20"/>
    <n v="10"/>
    <n v="20"/>
  </r>
  <r>
    <n v="3489"/>
    <x v="247"/>
    <x v="1"/>
    <x v="257"/>
    <x v="1"/>
    <n v="5"/>
    <x v="2"/>
    <x v="1"/>
    <s v="-"/>
    <s v="No"/>
    <n v="0"/>
    <n v="1"/>
    <n v="4"/>
  </r>
  <r>
    <n v="3490"/>
    <x v="248"/>
    <x v="0"/>
    <x v="258"/>
    <x v="0"/>
    <n v="15"/>
    <x v="0"/>
    <x v="0"/>
    <n v="30"/>
    <s v="Yes"/>
    <n v="20"/>
    <n v="15"/>
    <n v="50"/>
  </r>
  <r>
    <n v="3491"/>
    <x v="249"/>
    <x v="2"/>
    <x v="259"/>
    <x v="1"/>
    <n v="10"/>
    <x v="0"/>
    <x v="1"/>
    <s v="-"/>
    <s v="Yes"/>
    <n v="20"/>
    <n v="5"/>
    <n v="25"/>
  </r>
  <r>
    <n v="3492"/>
    <x v="250"/>
    <x v="1"/>
    <x v="260"/>
    <x v="0"/>
    <n v="5"/>
    <x v="1"/>
    <x v="1"/>
    <s v="-"/>
    <s v="No"/>
    <n v="0"/>
    <n v="0"/>
    <n v="5"/>
  </r>
  <r>
    <n v="3493"/>
    <x v="251"/>
    <x v="0"/>
    <x v="261"/>
    <x v="1"/>
    <n v="15"/>
    <x v="2"/>
    <x v="0"/>
    <n v="30"/>
    <s v="Yes"/>
    <n v="20"/>
    <n v="20"/>
    <n v="45"/>
  </r>
  <r>
    <n v="3494"/>
    <x v="252"/>
    <x v="2"/>
    <x v="262"/>
    <x v="0"/>
    <n v="10"/>
    <x v="2"/>
    <x v="1"/>
    <s v="-"/>
    <s v="Yes"/>
    <n v="20"/>
    <n v="12"/>
    <n v="18"/>
  </r>
  <r>
    <n v="3495"/>
    <x v="253"/>
    <x v="1"/>
    <x v="263"/>
    <x v="1"/>
    <n v="5"/>
    <x v="0"/>
    <x v="1"/>
    <s v="-"/>
    <s v="No"/>
    <n v="0"/>
    <n v="2"/>
    <n v="3"/>
  </r>
  <r>
    <n v="3496"/>
    <x v="254"/>
    <x v="0"/>
    <x v="264"/>
    <x v="0"/>
    <n v="15"/>
    <x v="1"/>
    <x v="0"/>
    <n v="30"/>
    <s v="Yes"/>
    <n v="20"/>
    <n v="5"/>
    <n v="60"/>
  </r>
  <r>
    <n v="3497"/>
    <x v="255"/>
    <x v="2"/>
    <x v="265"/>
    <x v="1"/>
    <n v="10"/>
    <x v="0"/>
    <x v="1"/>
    <s v="-"/>
    <s v="Yes"/>
    <n v="20"/>
    <n v="10"/>
    <n v="20"/>
  </r>
  <r>
    <n v="3498"/>
    <x v="256"/>
    <x v="1"/>
    <x v="266"/>
    <x v="0"/>
    <n v="5"/>
    <x v="2"/>
    <x v="1"/>
    <s v="-"/>
    <s v="No"/>
    <n v="0"/>
    <n v="0"/>
    <n v="5"/>
  </r>
  <r>
    <n v="3499"/>
    <x v="257"/>
    <x v="0"/>
    <x v="267"/>
    <x v="1"/>
    <n v="15"/>
    <x v="0"/>
    <x v="0"/>
    <n v="30"/>
    <s v="Yes"/>
    <n v="20"/>
    <n v="3"/>
    <n v="62"/>
  </r>
  <r>
    <n v="3500"/>
    <x v="258"/>
    <x v="2"/>
    <x v="268"/>
    <x v="0"/>
    <n v="10"/>
    <x v="1"/>
    <x v="1"/>
    <s v="-"/>
    <s v="Yes"/>
    <n v="20"/>
    <n v="15"/>
    <n v="15"/>
  </r>
  <r>
    <n v="3501"/>
    <x v="259"/>
    <x v="1"/>
    <x v="269"/>
    <x v="1"/>
    <n v="5"/>
    <x v="0"/>
    <x v="1"/>
    <s v="-"/>
    <s v="No"/>
    <n v="0"/>
    <n v="1"/>
    <n v="4"/>
  </r>
  <r>
    <n v="3502"/>
    <x v="260"/>
    <x v="0"/>
    <x v="270"/>
    <x v="0"/>
    <n v="15"/>
    <x v="2"/>
    <x v="0"/>
    <n v="30"/>
    <s v="Yes"/>
    <n v="20"/>
    <n v="7"/>
    <n v="58"/>
  </r>
  <r>
    <n v="3503"/>
    <x v="119"/>
    <x v="2"/>
    <x v="271"/>
    <x v="1"/>
    <n v="10"/>
    <x v="0"/>
    <x v="1"/>
    <s v="-"/>
    <s v="Yes"/>
    <n v="20"/>
    <n v="10"/>
    <n v="20"/>
  </r>
  <r>
    <n v="3504"/>
    <x v="261"/>
    <x v="1"/>
    <x v="272"/>
    <x v="0"/>
    <n v="5"/>
    <x v="1"/>
    <x v="1"/>
    <s v="-"/>
    <s v="No"/>
    <n v="0"/>
    <n v="0"/>
    <n v="5"/>
  </r>
  <r>
    <n v="3505"/>
    <x v="262"/>
    <x v="0"/>
    <x v="273"/>
    <x v="1"/>
    <n v="15"/>
    <x v="0"/>
    <x v="0"/>
    <n v="30"/>
    <s v="Yes"/>
    <n v="20"/>
    <n v="20"/>
    <n v="45"/>
  </r>
  <r>
    <n v="3506"/>
    <x v="263"/>
    <x v="2"/>
    <x v="274"/>
    <x v="0"/>
    <n v="10"/>
    <x v="2"/>
    <x v="1"/>
    <s v="-"/>
    <s v="Yes"/>
    <n v="20"/>
    <n v="15"/>
    <n v="15"/>
  </r>
  <r>
    <n v="3507"/>
    <x v="264"/>
    <x v="1"/>
    <x v="275"/>
    <x v="1"/>
    <n v="5"/>
    <x v="0"/>
    <x v="1"/>
    <s v="-"/>
    <s v="No"/>
    <n v="0"/>
    <n v="1"/>
    <n v="4"/>
  </r>
  <r>
    <n v="3508"/>
    <x v="265"/>
    <x v="0"/>
    <x v="276"/>
    <x v="0"/>
    <n v="15"/>
    <x v="1"/>
    <x v="0"/>
    <n v="30"/>
    <s v="Yes"/>
    <n v="20"/>
    <n v="3"/>
    <n v="62"/>
  </r>
  <r>
    <n v="3509"/>
    <x v="266"/>
    <x v="2"/>
    <x v="277"/>
    <x v="1"/>
    <n v="10"/>
    <x v="0"/>
    <x v="1"/>
    <s v="-"/>
    <s v="Yes"/>
    <n v="20"/>
    <n v="10"/>
    <n v="20"/>
  </r>
  <r>
    <n v="3510"/>
    <x v="267"/>
    <x v="1"/>
    <x v="278"/>
    <x v="0"/>
    <n v="5"/>
    <x v="2"/>
    <x v="1"/>
    <s v="-"/>
    <s v="No"/>
    <n v="0"/>
    <n v="0"/>
    <n v="5"/>
  </r>
  <r>
    <n v="3511"/>
    <x v="268"/>
    <x v="0"/>
    <x v="279"/>
    <x v="1"/>
    <n v="15"/>
    <x v="0"/>
    <x v="0"/>
    <n v="30"/>
    <s v="Yes"/>
    <n v="20"/>
    <n v="15"/>
    <n v="50"/>
  </r>
  <r>
    <n v="3512"/>
    <x v="269"/>
    <x v="2"/>
    <x v="280"/>
    <x v="0"/>
    <n v="10"/>
    <x v="1"/>
    <x v="1"/>
    <s v="-"/>
    <s v="Yes"/>
    <n v="20"/>
    <n v="15"/>
    <n v="15"/>
  </r>
  <r>
    <n v="3513"/>
    <x v="270"/>
    <x v="1"/>
    <x v="281"/>
    <x v="1"/>
    <n v="5"/>
    <x v="0"/>
    <x v="1"/>
    <s v="-"/>
    <s v="No"/>
    <n v="0"/>
    <n v="1"/>
    <n v="4"/>
  </r>
  <r>
    <n v="3514"/>
    <x v="271"/>
    <x v="0"/>
    <x v="282"/>
    <x v="0"/>
    <n v="15"/>
    <x v="2"/>
    <x v="0"/>
    <n v="30"/>
    <s v="Yes"/>
    <n v="20"/>
    <n v="7"/>
    <n v="58"/>
  </r>
  <r>
    <n v="3515"/>
    <x v="130"/>
    <x v="2"/>
    <x v="283"/>
    <x v="1"/>
    <n v="10"/>
    <x v="0"/>
    <x v="1"/>
    <s v="-"/>
    <s v="Yes"/>
    <n v="20"/>
    <n v="10"/>
    <n v="20"/>
  </r>
  <r>
    <n v="3516"/>
    <x v="131"/>
    <x v="1"/>
    <x v="284"/>
    <x v="0"/>
    <n v="5"/>
    <x v="1"/>
    <x v="1"/>
    <s v="-"/>
    <s v="No"/>
    <n v="0"/>
    <n v="0"/>
    <n v="5"/>
  </r>
  <r>
    <n v="3517"/>
    <x v="181"/>
    <x v="0"/>
    <x v="285"/>
    <x v="1"/>
    <n v="15"/>
    <x v="0"/>
    <x v="0"/>
    <n v="30"/>
    <s v="Yes"/>
    <n v="20"/>
    <n v="20"/>
    <n v="45"/>
  </r>
  <r>
    <n v="3518"/>
    <x v="272"/>
    <x v="2"/>
    <x v="286"/>
    <x v="0"/>
    <n v="10"/>
    <x v="2"/>
    <x v="1"/>
    <s v="-"/>
    <s v="Yes"/>
    <n v="20"/>
    <n v="12"/>
    <n v="18"/>
  </r>
  <r>
    <n v="3519"/>
    <x v="273"/>
    <x v="1"/>
    <x v="287"/>
    <x v="1"/>
    <n v="5"/>
    <x v="0"/>
    <x v="1"/>
    <s v="-"/>
    <s v="No"/>
    <n v="0"/>
    <n v="2"/>
    <n v="3"/>
  </r>
  <r>
    <n v="3520"/>
    <x v="274"/>
    <x v="0"/>
    <x v="288"/>
    <x v="0"/>
    <n v="15"/>
    <x v="1"/>
    <x v="0"/>
    <n v="30"/>
    <s v="Yes"/>
    <n v="20"/>
    <n v="5"/>
    <n v="60"/>
  </r>
  <r>
    <n v="3521"/>
    <x v="275"/>
    <x v="2"/>
    <x v="289"/>
    <x v="1"/>
    <n v="10"/>
    <x v="0"/>
    <x v="1"/>
    <s v="-"/>
    <s v="Yes"/>
    <n v="20"/>
    <n v="10"/>
    <n v="20"/>
  </r>
  <r>
    <n v="3522"/>
    <x v="276"/>
    <x v="1"/>
    <x v="290"/>
    <x v="0"/>
    <n v="5"/>
    <x v="2"/>
    <x v="1"/>
    <s v="-"/>
    <s v="No"/>
    <n v="0"/>
    <n v="0"/>
    <n v="5"/>
  </r>
  <r>
    <n v="3523"/>
    <x v="277"/>
    <x v="0"/>
    <x v="291"/>
    <x v="1"/>
    <n v="15"/>
    <x v="0"/>
    <x v="0"/>
    <n v="30"/>
    <s v="Yes"/>
    <n v="20"/>
    <n v="3"/>
    <n v="62"/>
  </r>
  <r>
    <n v="3524"/>
    <x v="278"/>
    <x v="2"/>
    <x v="292"/>
    <x v="0"/>
    <n v="10"/>
    <x v="1"/>
    <x v="1"/>
    <s v="-"/>
    <s v="Yes"/>
    <n v="20"/>
    <n v="15"/>
    <n v="15"/>
  </r>
  <r>
    <n v="3525"/>
    <x v="279"/>
    <x v="1"/>
    <x v="293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771F1-AE0E-4A01-BF79-20521C41B78B}" name="Tabela dinâmica5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3">
  <location ref="B68:C71" firstHeaderRow="1" firstDataRow="1" firstDataCol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dataField="1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Auto Renewal" fld="4" subtotal="count" baseField="0" baseItem="0"/>
  </dataFields>
  <chartFormats count="7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0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26C8F-8869-4AD5-AF54-F1D1631FA650}" name="Tabela dinâmica4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B59:C63" firstHeaderRow="1" firstDataRow="1" firstDataCol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dataField="1"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Coupon Value" fld="11" baseField="0" baseItem="0" numFmtId="44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25F41-8D07-42AB-A6D2-BDD36D15A8AE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4">
  <location ref="B41:C54" firstHeaderRow="1" firstDataRow="1" firstDataCol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dataField="1"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ntagem de Start Date" fld="3" subtotal="count" baseField="0" baseItem="0"/>
  </dataFields>
  <chartFormats count="2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E0AF6-1FAF-41F4-B300-3B6572855FD7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32:C36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E8388D-DBDB-41FC-9C7F-A32914E975B6}" name="tbl_ea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20:C24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E485B-037E-4448-AA84-F3477BDBDD03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8">
  <location ref="B9:C12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ACA74B48-08B1-486D-B479-5D369EF22516}" sourceName="Subscription Type">
  <pivotTables>
    <pivotTable tabId="3" name="tbl_annual_total"/>
    <pivotTable tabId="3" name="tbl_easeasonpass_total"/>
    <pivotTable tabId="3" name="Tabela dinâmica2"/>
    <pivotTable tabId="3" name="Tabela dinâmica3"/>
    <pivotTable tabId="3" name="Tabela dinâmica4"/>
    <pivotTable tabId="3" name="Tabela dinâmica5"/>
  </pivotTables>
  <data>
    <tabular pivotCacheId="1476149293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41E4B284-FE16-43E8-BEBD-1C88DF15CFA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/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L1" sqref="L1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L1" sqref="L1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2:F71"/>
  <sheetViews>
    <sheetView showGridLines="0" topLeftCell="A42" workbookViewId="0">
      <selection activeCell="L1" sqref="L1"/>
    </sheetView>
  </sheetViews>
  <sheetFormatPr defaultRowHeight="15" x14ac:dyDescent="0.25"/>
  <cols>
    <col min="2" max="2" width="18.42578125" bestFit="1" customWidth="1"/>
    <col min="3" max="3" width="26.28515625" bestFit="1" customWidth="1"/>
    <col min="4" max="4" width="30.5703125" bestFit="1" customWidth="1"/>
    <col min="5" max="5" width="6.28515625" customWidth="1"/>
    <col min="6" max="6" width="12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2" spans="2:3" ht="21" x14ac:dyDescent="0.35">
      <c r="B2" s="15" t="s">
        <v>313</v>
      </c>
    </row>
    <row r="4" spans="2:3" x14ac:dyDescent="0.25">
      <c r="B4" t="s">
        <v>314</v>
      </c>
    </row>
    <row r="5" spans="2:3" x14ac:dyDescent="0.25">
      <c r="B5" t="s">
        <v>318</v>
      </c>
    </row>
    <row r="7" spans="2:3" x14ac:dyDescent="0.25">
      <c r="B7" s="13" t="s">
        <v>16</v>
      </c>
      <c r="C7" t="s">
        <v>322</v>
      </c>
    </row>
    <row r="9" spans="2:3" x14ac:dyDescent="0.25">
      <c r="B9" s="13" t="s">
        <v>316</v>
      </c>
      <c r="C9" t="s">
        <v>315</v>
      </c>
    </row>
    <row r="10" spans="2:3" x14ac:dyDescent="0.25">
      <c r="B10" s="14" t="s">
        <v>23</v>
      </c>
      <c r="C10" s="12">
        <v>3847</v>
      </c>
    </row>
    <row r="11" spans="2:3" x14ac:dyDescent="0.25">
      <c r="B11" s="14" t="s">
        <v>19</v>
      </c>
      <c r="C11" s="12">
        <v>3786</v>
      </c>
    </row>
    <row r="12" spans="2:3" x14ac:dyDescent="0.25">
      <c r="B12" s="14" t="s">
        <v>317</v>
      </c>
      <c r="C12" s="12">
        <v>7633</v>
      </c>
    </row>
    <row r="15" spans="2:3" x14ac:dyDescent="0.25">
      <c r="B15" t="s">
        <v>320</v>
      </c>
    </row>
    <row r="18" spans="2:6" x14ac:dyDescent="0.25">
      <c r="B18" s="13" t="s">
        <v>16</v>
      </c>
      <c r="C18" t="s">
        <v>322</v>
      </c>
    </row>
    <row r="20" spans="2:6" x14ac:dyDescent="0.25">
      <c r="B20" s="13" t="s">
        <v>316</v>
      </c>
      <c r="C20" t="s">
        <v>321</v>
      </c>
    </row>
    <row r="21" spans="2:6" x14ac:dyDescent="0.25">
      <c r="B21" s="14" t="s">
        <v>22</v>
      </c>
      <c r="C21" s="16">
        <v>0</v>
      </c>
    </row>
    <row r="22" spans="2:6" x14ac:dyDescent="0.25">
      <c r="B22" s="14" t="s">
        <v>26</v>
      </c>
      <c r="C22" s="16">
        <v>0</v>
      </c>
    </row>
    <row r="23" spans="2:6" x14ac:dyDescent="0.25">
      <c r="B23" s="14" t="s">
        <v>18</v>
      </c>
      <c r="C23" s="16">
        <v>2940</v>
      </c>
    </row>
    <row r="24" spans="2:6" x14ac:dyDescent="0.25">
      <c r="B24" s="14" t="s">
        <v>317</v>
      </c>
      <c r="C24" s="16">
        <v>2940</v>
      </c>
      <c r="F24" s="17">
        <f>GETPIVOTDATA("EA Play Season Pass
Price",$B$20)</f>
        <v>2940</v>
      </c>
    </row>
    <row r="27" spans="2:6" x14ac:dyDescent="0.25">
      <c r="B27" t="s">
        <v>323</v>
      </c>
    </row>
    <row r="30" spans="2:6" x14ac:dyDescent="0.25">
      <c r="B30" s="13" t="s">
        <v>16</v>
      </c>
      <c r="C30" t="s">
        <v>322</v>
      </c>
    </row>
    <row r="32" spans="2:6" x14ac:dyDescent="0.25">
      <c r="B32" s="13" t="s">
        <v>316</v>
      </c>
      <c r="C32" t="s">
        <v>324</v>
      </c>
    </row>
    <row r="33" spans="2:6" x14ac:dyDescent="0.25">
      <c r="B33" s="14" t="s">
        <v>22</v>
      </c>
      <c r="C33" s="12">
        <v>0</v>
      </c>
    </row>
    <row r="34" spans="2:6" x14ac:dyDescent="0.25">
      <c r="B34" s="14" t="s">
        <v>26</v>
      </c>
      <c r="C34" s="12">
        <v>1920</v>
      </c>
      <c r="F34" s="17">
        <f>GETPIVOTDATA("Minecraft Season Pass Price",$B$32)</f>
        <v>3880</v>
      </c>
    </row>
    <row r="35" spans="2:6" x14ac:dyDescent="0.25">
      <c r="B35" s="14" t="s">
        <v>18</v>
      </c>
      <c r="C35" s="12">
        <v>1960</v>
      </c>
    </row>
    <row r="36" spans="2:6" x14ac:dyDescent="0.25">
      <c r="B36" s="14" t="s">
        <v>317</v>
      </c>
      <c r="C36" s="12">
        <v>3880</v>
      </c>
    </row>
    <row r="39" spans="2:6" x14ac:dyDescent="0.25">
      <c r="B39" t="s">
        <v>325</v>
      </c>
    </row>
    <row r="41" spans="2:6" x14ac:dyDescent="0.25">
      <c r="B41" s="13" t="s">
        <v>316</v>
      </c>
      <c r="C41" t="s">
        <v>326</v>
      </c>
    </row>
    <row r="42" spans="2:6" x14ac:dyDescent="0.25">
      <c r="B42" s="14" t="s">
        <v>327</v>
      </c>
      <c r="C42" s="16">
        <v>2</v>
      </c>
    </row>
    <row r="43" spans="2:6" x14ac:dyDescent="0.25">
      <c r="B43" s="14" t="s">
        <v>328</v>
      </c>
      <c r="C43" s="16">
        <v>2</v>
      </c>
    </row>
    <row r="44" spans="2:6" x14ac:dyDescent="0.25">
      <c r="B44" s="14" t="s">
        <v>329</v>
      </c>
      <c r="C44" s="16">
        <v>31</v>
      </c>
    </row>
    <row r="45" spans="2:6" x14ac:dyDescent="0.25">
      <c r="B45" s="14" t="s">
        <v>330</v>
      </c>
      <c r="C45" s="16">
        <v>30</v>
      </c>
    </row>
    <row r="46" spans="2:6" x14ac:dyDescent="0.25">
      <c r="B46" s="14" t="s">
        <v>331</v>
      </c>
      <c r="C46" s="16">
        <v>31</v>
      </c>
    </row>
    <row r="47" spans="2:6" x14ac:dyDescent="0.25">
      <c r="B47" s="14" t="s">
        <v>332</v>
      </c>
      <c r="C47" s="16">
        <v>30</v>
      </c>
    </row>
    <row r="48" spans="2:6" x14ac:dyDescent="0.25">
      <c r="B48" s="14" t="s">
        <v>333</v>
      </c>
      <c r="C48" s="16">
        <v>31</v>
      </c>
    </row>
    <row r="49" spans="2:3" x14ac:dyDescent="0.25">
      <c r="B49" s="14" t="s">
        <v>334</v>
      </c>
      <c r="C49" s="16">
        <v>31</v>
      </c>
    </row>
    <row r="50" spans="2:3" x14ac:dyDescent="0.25">
      <c r="B50" s="14" t="s">
        <v>335</v>
      </c>
      <c r="C50" s="16">
        <v>30</v>
      </c>
    </row>
    <row r="51" spans="2:3" x14ac:dyDescent="0.25">
      <c r="B51" s="14" t="s">
        <v>336</v>
      </c>
      <c r="C51" s="16">
        <v>31</v>
      </c>
    </row>
    <row r="52" spans="2:3" x14ac:dyDescent="0.25">
      <c r="B52" s="14" t="s">
        <v>337</v>
      </c>
      <c r="C52" s="16">
        <v>30</v>
      </c>
    </row>
    <row r="53" spans="2:3" x14ac:dyDescent="0.25">
      <c r="B53" s="14" t="s">
        <v>338</v>
      </c>
      <c r="C53" s="16">
        <v>16</v>
      </c>
    </row>
    <row r="54" spans="2:3" x14ac:dyDescent="0.25">
      <c r="B54" s="14" t="s">
        <v>317</v>
      </c>
      <c r="C54" s="16">
        <v>295</v>
      </c>
    </row>
    <row r="57" spans="2:3" x14ac:dyDescent="0.25">
      <c r="B57" t="s">
        <v>339</v>
      </c>
    </row>
    <row r="59" spans="2:3" x14ac:dyDescent="0.25">
      <c r="B59" s="13" t="s">
        <v>316</v>
      </c>
      <c r="C59" t="s">
        <v>340</v>
      </c>
    </row>
    <row r="60" spans="2:3" x14ac:dyDescent="0.25">
      <c r="B60" s="14" t="s">
        <v>22</v>
      </c>
      <c r="C60" s="12">
        <v>61</v>
      </c>
    </row>
    <row r="61" spans="2:3" x14ac:dyDescent="0.25">
      <c r="B61" s="14" t="s">
        <v>26</v>
      </c>
      <c r="C61" s="12">
        <v>1079</v>
      </c>
    </row>
    <row r="62" spans="2:3" x14ac:dyDescent="0.25">
      <c r="B62" s="14" t="s">
        <v>18</v>
      </c>
      <c r="C62" s="12">
        <v>982</v>
      </c>
    </row>
    <row r="63" spans="2:3" x14ac:dyDescent="0.25">
      <c r="B63" s="14" t="s">
        <v>317</v>
      </c>
      <c r="C63" s="12">
        <v>2122</v>
      </c>
    </row>
    <row r="66" spans="2:3" x14ac:dyDescent="0.25">
      <c r="B66" t="s">
        <v>341</v>
      </c>
    </row>
    <row r="68" spans="2:3" x14ac:dyDescent="0.25">
      <c r="B68" s="13" t="s">
        <v>316</v>
      </c>
      <c r="C68" t="s">
        <v>342</v>
      </c>
    </row>
    <row r="69" spans="2:3" x14ac:dyDescent="0.25">
      <c r="B69" s="14" t="s">
        <v>23</v>
      </c>
      <c r="C69" s="16">
        <v>147</v>
      </c>
    </row>
    <row r="70" spans="2:3" x14ac:dyDescent="0.25">
      <c r="B70" s="14" t="s">
        <v>19</v>
      </c>
      <c r="C70" s="16">
        <v>148</v>
      </c>
    </row>
    <row r="71" spans="2:3" x14ac:dyDescent="0.25">
      <c r="B71" s="14" t="s">
        <v>317</v>
      </c>
      <c r="C71" s="16">
        <v>295</v>
      </c>
    </row>
  </sheetData>
  <pageMargins left="0.511811024" right="0.511811024" top="0.78740157499999996" bottom="0.78740157499999996" header="0.31496062000000002" footer="0.31496062000000002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T453"/>
  <sheetViews>
    <sheetView showGridLines="0" tabSelected="1" zoomScale="85" zoomScaleNormal="85" workbookViewId="0">
      <selection activeCell="Y23" sqref="Y23"/>
    </sheetView>
  </sheetViews>
  <sheetFormatPr defaultRowHeight="15" x14ac:dyDescent="0.25"/>
  <cols>
    <col min="1" max="1" width="27.5703125" style="18" customWidth="1"/>
    <col min="2" max="2" width="3.5703125" customWidth="1"/>
    <col min="12" max="12" width="6.5703125" customWidth="1"/>
  </cols>
  <sheetData>
    <row r="1" spans="1:20" ht="58.5" customHeight="1" thickBot="1" x14ac:dyDescent="0.5">
      <c r="C1" s="19" t="s">
        <v>319</v>
      </c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1"/>
      <c r="P1" s="21"/>
      <c r="Q1" s="21"/>
      <c r="R1" s="21"/>
      <c r="S1" s="21"/>
      <c r="T1" s="21"/>
    </row>
    <row r="2" spans="1:20" ht="15.75" customHeight="1" thickTop="1" x14ac:dyDescent="0.25"/>
    <row r="3" spans="1:20" s="7" customFormat="1" ht="8.25" customHeight="1" thickTop="1" x14ac:dyDescent="0.25">
      <c r="A3" s="18"/>
    </row>
    <row r="4" spans="1:20" s="7" customFormat="1" ht="7.5" customHeight="1" x14ac:dyDescent="0.25">
      <c r="A4" s="18"/>
    </row>
    <row r="5" spans="1:20" s="7" customFormat="1" ht="10.5" customHeight="1" x14ac:dyDescent="0.25">
      <c r="A5" s="18"/>
    </row>
    <row r="6" spans="1:20" s="7" customFormat="1" ht="9.75" customHeight="1" x14ac:dyDescent="0.25">
      <c r="A6" s="18"/>
    </row>
    <row r="7" spans="1:20" s="7" customFormat="1" ht="33" customHeight="1" x14ac:dyDescent="0.25">
      <c r="A7" s="18"/>
    </row>
    <row r="8" spans="1:20" s="7" customFormat="1" x14ac:dyDescent="0.25">
      <c r="A8" s="18"/>
    </row>
    <row r="9" spans="1:20" s="7" customFormat="1" x14ac:dyDescent="0.25">
      <c r="A9" s="18"/>
    </row>
    <row r="10" spans="1:20" s="7" customFormat="1" x14ac:dyDescent="0.25">
      <c r="A10" s="18"/>
    </row>
    <row r="11" spans="1:20" s="7" customFormat="1" x14ac:dyDescent="0.25">
      <c r="A11" s="18"/>
    </row>
    <row r="12" spans="1:20" s="7" customFormat="1" x14ac:dyDescent="0.25">
      <c r="A12" s="18"/>
    </row>
    <row r="13" spans="1:20" s="7" customFormat="1" x14ac:dyDescent="0.25">
      <c r="A13" s="18"/>
    </row>
    <row r="14" spans="1:20" s="7" customFormat="1" x14ac:dyDescent="0.25">
      <c r="A14" s="18"/>
    </row>
    <row r="15" spans="1:20" s="7" customFormat="1" x14ac:dyDescent="0.25">
      <c r="A15" s="18"/>
    </row>
    <row r="16" spans="1:20" s="7" customFormat="1" x14ac:dyDescent="0.25">
      <c r="A16" s="18"/>
    </row>
    <row r="17" spans="1:1" s="7" customFormat="1" x14ac:dyDescent="0.25">
      <c r="A17" s="18"/>
    </row>
    <row r="18" spans="1:1" s="7" customFormat="1" x14ac:dyDescent="0.25">
      <c r="A18" s="18"/>
    </row>
    <row r="19" spans="1:1" s="7" customFormat="1" x14ac:dyDescent="0.25">
      <c r="A19" s="18"/>
    </row>
    <row r="20" spans="1:1" s="7" customFormat="1" x14ac:dyDescent="0.25">
      <c r="A20" s="18"/>
    </row>
    <row r="21" spans="1:1" s="7" customFormat="1" x14ac:dyDescent="0.25">
      <c r="A21" s="18"/>
    </row>
    <row r="22" spans="1:1" s="7" customFormat="1" x14ac:dyDescent="0.25">
      <c r="A22" s="18"/>
    </row>
    <row r="23" spans="1:1" s="7" customFormat="1" x14ac:dyDescent="0.25">
      <c r="A23" s="18"/>
    </row>
    <row r="24" spans="1:1" s="7" customFormat="1" x14ac:dyDescent="0.25">
      <c r="A24" s="18"/>
    </row>
    <row r="25" spans="1:1" s="7" customFormat="1" x14ac:dyDescent="0.25">
      <c r="A25" s="18"/>
    </row>
    <row r="26" spans="1:1" s="7" customFormat="1" x14ac:dyDescent="0.25">
      <c r="A26" s="18"/>
    </row>
    <row r="27" spans="1:1" s="7" customFormat="1" x14ac:dyDescent="0.25">
      <c r="A27" s="18"/>
    </row>
    <row r="28" spans="1:1" s="7" customFormat="1" x14ac:dyDescent="0.25">
      <c r="A28" s="18"/>
    </row>
    <row r="29" spans="1:1" s="7" customFormat="1" x14ac:dyDescent="0.25">
      <c r="A29" s="18"/>
    </row>
    <row r="30" spans="1:1" s="7" customFormat="1" x14ac:dyDescent="0.25">
      <c r="A30" s="18"/>
    </row>
    <row r="31" spans="1:1" s="7" customFormat="1" x14ac:dyDescent="0.25">
      <c r="A31" s="18"/>
    </row>
    <row r="32" spans="1:1" s="7" customFormat="1" x14ac:dyDescent="0.25">
      <c r="A32" s="18"/>
    </row>
    <row r="33" spans="1:1" s="7" customFormat="1" x14ac:dyDescent="0.25">
      <c r="A33" s="18"/>
    </row>
    <row r="34" spans="1:1" s="7" customFormat="1" x14ac:dyDescent="0.25">
      <c r="A34" s="18"/>
    </row>
    <row r="35" spans="1:1" s="7" customFormat="1" x14ac:dyDescent="0.25">
      <c r="A35" s="18"/>
    </row>
    <row r="36" spans="1:1" s="7" customFormat="1" x14ac:dyDescent="0.25">
      <c r="A36" s="18"/>
    </row>
    <row r="37" spans="1:1" s="7" customFormat="1" x14ac:dyDescent="0.25">
      <c r="A37" s="18"/>
    </row>
    <row r="38" spans="1:1" s="7" customFormat="1" x14ac:dyDescent="0.25">
      <c r="A38" s="18"/>
    </row>
    <row r="39" spans="1:1" s="7" customFormat="1" x14ac:dyDescent="0.25">
      <c r="A39" s="18"/>
    </row>
    <row r="40" spans="1:1" s="7" customFormat="1" x14ac:dyDescent="0.25">
      <c r="A40" s="18"/>
    </row>
    <row r="41" spans="1:1" s="7" customFormat="1" x14ac:dyDescent="0.25">
      <c r="A41" s="18"/>
    </row>
    <row r="42" spans="1:1" s="7" customFormat="1" x14ac:dyDescent="0.25">
      <c r="A42" s="18"/>
    </row>
    <row r="43" spans="1:1" s="7" customFormat="1" x14ac:dyDescent="0.25">
      <c r="A43" s="18"/>
    </row>
    <row r="44" spans="1:1" s="7" customFormat="1" x14ac:dyDescent="0.25">
      <c r="A44" s="18"/>
    </row>
    <row r="45" spans="1:1" s="7" customFormat="1" x14ac:dyDescent="0.25">
      <c r="A45" s="18"/>
    </row>
    <row r="46" spans="1:1" s="7" customFormat="1" x14ac:dyDescent="0.25">
      <c r="A46" s="18"/>
    </row>
    <row r="47" spans="1:1" s="7" customFormat="1" x14ac:dyDescent="0.25">
      <c r="A47" s="18"/>
    </row>
    <row r="48" spans="1:1" s="7" customFormat="1" x14ac:dyDescent="0.25">
      <c r="A48" s="18"/>
    </row>
    <row r="49" spans="1:1" s="7" customFormat="1" x14ac:dyDescent="0.25">
      <c r="A49" s="18"/>
    </row>
    <row r="50" spans="1:1" s="7" customFormat="1" x14ac:dyDescent="0.25">
      <c r="A50" s="18"/>
    </row>
    <row r="51" spans="1:1" s="7" customFormat="1" x14ac:dyDescent="0.25">
      <c r="A51" s="18"/>
    </row>
    <row r="52" spans="1:1" s="7" customFormat="1" x14ac:dyDescent="0.25">
      <c r="A52" s="18"/>
    </row>
    <row r="53" spans="1:1" s="7" customFormat="1" x14ac:dyDescent="0.25">
      <c r="A53" s="18"/>
    </row>
    <row r="54" spans="1:1" s="7" customFormat="1" x14ac:dyDescent="0.25">
      <c r="A54" s="18"/>
    </row>
    <row r="55" spans="1:1" s="7" customFormat="1" x14ac:dyDescent="0.25">
      <c r="A55" s="18"/>
    </row>
    <row r="56" spans="1:1" s="7" customFormat="1" x14ac:dyDescent="0.25">
      <c r="A56" s="18"/>
    </row>
    <row r="57" spans="1:1" s="7" customFormat="1" x14ac:dyDescent="0.25">
      <c r="A57" s="18"/>
    </row>
    <row r="58" spans="1:1" s="7" customFormat="1" x14ac:dyDescent="0.25">
      <c r="A58" s="18"/>
    </row>
    <row r="59" spans="1:1" s="7" customFormat="1" x14ac:dyDescent="0.25">
      <c r="A59" s="18"/>
    </row>
    <row r="60" spans="1:1" s="7" customFormat="1" x14ac:dyDescent="0.25">
      <c r="A60" s="18"/>
    </row>
    <row r="61" spans="1:1" s="7" customFormat="1" x14ac:dyDescent="0.25">
      <c r="A61" s="18"/>
    </row>
    <row r="62" spans="1:1" s="7" customFormat="1" x14ac:dyDescent="0.25">
      <c r="A62" s="18"/>
    </row>
    <row r="63" spans="1:1" s="7" customFormat="1" x14ac:dyDescent="0.25">
      <c r="A63" s="18"/>
    </row>
    <row r="64" spans="1:1" s="7" customFormat="1" x14ac:dyDescent="0.25">
      <c r="A64" s="18"/>
    </row>
    <row r="65" spans="1:1" s="7" customFormat="1" x14ac:dyDescent="0.25">
      <c r="A65" s="18"/>
    </row>
    <row r="66" spans="1:1" s="7" customFormat="1" x14ac:dyDescent="0.25">
      <c r="A66" s="18"/>
    </row>
    <row r="67" spans="1:1" s="7" customFormat="1" x14ac:dyDescent="0.25">
      <c r="A67" s="18"/>
    </row>
    <row r="68" spans="1:1" s="7" customFormat="1" x14ac:dyDescent="0.25">
      <c r="A68" s="18"/>
    </row>
    <row r="69" spans="1:1" s="7" customFormat="1" x14ac:dyDescent="0.25">
      <c r="A69" s="18"/>
    </row>
    <row r="70" spans="1:1" s="7" customFormat="1" x14ac:dyDescent="0.25">
      <c r="A70" s="18"/>
    </row>
    <row r="71" spans="1:1" s="7" customFormat="1" x14ac:dyDescent="0.25">
      <c r="A71" s="18"/>
    </row>
    <row r="72" spans="1:1" s="7" customFormat="1" x14ac:dyDescent="0.25">
      <c r="A72" s="18"/>
    </row>
    <row r="73" spans="1:1" s="7" customFormat="1" x14ac:dyDescent="0.25">
      <c r="A73" s="18"/>
    </row>
    <row r="74" spans="1:1" s="7" customFormat="1" x14ac:dyDescent="0.25">
      <c r="A74" s="18"/>
    </row>
    <row r="75" spans="1:1" s="7" customFormat="1" x14ac:dyDescent="0.25">
      <c r="A75" s="18"/>
    </row>
    <row r="76" spans="1:1" s="7" customFormat="1" x14ac:dyDescent="0.25">
      <c r="A76" s="18"/>
    </row>
    <row r="77" spans="1:1" s="7" customFormat="1" x14ac:dyDescent="0.25">
      <c r="A77" s="18"/>
    </row>
    <row r="78" spans="1:1" s="7" customFormat="1" x14ac:dyDescent="0.25">
      <c r="A78" s="18"/>
    </row>
    <row r="79" spans="1:1" s="7" customFormat="1" x14ac:dyDescent="0.25">
      <c r="A79" s="18"/>
    </row>
    <row r="80" spans="1:1" s="7" customFormat="1" x14ac:dyDescent="0.25">
      <c r="A80" s="18"/>
    </row>
    <row r="81" spans="1:1" s="7" customFormat="1" x14ac:dyDescent="0.25">
      <c r="A81" s="18"/>
    </row>
    <row r="82" spans="1:1" s="7" customFormat="1" x14ac:dyDescent="0.25">
      <c r="A82" s="18"/>
    </row>
    <row r="83" spans="1:1" s="7" customFormat="1" x14ac:dyDescent="0.25">
      <c r="A83" s="18"/>
    </row>
    <row r="84" spans="1:1" s="7" customFormat="1" x14ac:dyDescent="0.25">
      <c r="A84" s="18"/>
    </row>
    <row r="85" spans="1:1" s="7" customFormat="1" x14ac:dyDescent="0.25">
      <c r="A85" s="18"/>
    </row>
    <row r="86" spans="1:1" s="7" customFormat="1" x14ac:dyDescent="0.25">
      <c r="A86" s="18"/>
    </row>
    <row r="87" spans="1:1" s="7" customFormat="1" x14ac:dyDescent="0.25">
      <c r="A87" s="18"/>
    </row>
    <row r="88" spans="1:1" s="7" customFormat="1" x14ac:dyDescent="0.25">
      <c r="A88" s="18"/>
    </row>
    <row r="89" spans="1:1" s="7" customFormat="1" x14ac:dyDescent="0.25">
      <c r="A89" s="18"/>
    </row>
    <row r="90" spans="1:1" s="7" customFormat="1" x14ac:dyDescent="0.25">
      <c r="A90" s="18"/>
    </row>
    <row r="91" spans="1:1" s="7" customFormat="1" x14ac:dyDescent="0.25">
      <c r="A91" s="18"/>
    </row>
    <row r="92" spans="1:1" s="7" customFormat="1" x14ac:dyDescent="0.25">
      <c r="A92" s="18"/>
    </row>
    <row r="93" spans="1:1" s="7" customFormat="1" x14ac:dyDescent="0.25">
      <c r="A93" s="18"/>
    </row>
    <row r="94" spans="1:1" s="7" customFormat="1" x14ac:dyDescent="0.25">
      <c r="A94" s="18"/>
    </row>
    <row r="95" spans="1:1" s="7" customFormat="1" x14ac:dyDescent="0.25">
      <c r="A95" s="18"/>
    </row>
    <row r="96" spans="1:1" s="7" customFormat="1" x14ac:dyDescent="0.25">
      <c r="A96" s="18"/>
    </row>
    <row r="97" spans="1:1" s="7" customFormat="1" x14ac:dyDescent="0.25">
      <c r="A97" s="18"/>
    </row>
    <row r="98" spans="1:1" s="7" customFormat="1" x14ac:dyDescent="0.25">
      <c r="A98" s="18"/>
    </row>
    <row r="99" spans="1:1" s="7" customFormat="1" x14ac:dyDescent="0.25">
      <c r="A99" s="18"/>
    </row>
    <row r="100" spans="1:1" s="7" customFormat="1" x14ac:dyDescent="0.25">
      <c r="A100" s="18"/>
    </row>
    <row r="101" spans="1:1" s="7" customFormat="1" x14ac:dyDescent="0.25">
      <c r="A101" s="18"/>
    </row>
    <row r="102" spans="1:1" s="7" customFormat="1" x14ac:dyDescent="0.25">
      <c r="A102" s="18"/>
    </row>
    <row r="103" spans="1:1" s="7" customFormat="1" x14ac:dyDescent="0.25">
      <c r="A103" s="18"/>
    </row>
    <row r="104" spans="1:1" s="7" customFormat="1" x14ac:dyDescent="0.25">
      <c r="A104" s="18"/>
    </row>
    <row r="105" spans="1:1" s="7" customFormat="1" x14ac:dyDescent="0.25">
      <c r="A105" s="18"/>
    </row>
    <row r="106" spans="1:1" s="7" customFormat="1" x14ac:dyDescent="0.25">
      <c r="A106" s="18"/>
    </row>
    <row r="107" spans="1:1" s="7" customFormat="1" x14ac:dyDescent="0.25">
      <c r="A107" s="18"/>
    </row>
    <row r="108" spans="1:1" s="7" customFormat="1" x14ac:dyDescent="0.25">
      <c r="A108" s="18"/>
    </row>
    <row r="109" spans="1:1" s="7" customFormat="1" x14ac:dyDescent="0.25">
      <c r="A109" s="18"/>
    </row>
    <row r="110" spans="1:1" s="7" customFormat="1" x14ac:dyDescent="0.25">
      <c r="A110" s="18"/>
    </row>
    <row r="111" spans="1:1" s="7" customFormat="1" x14ac:dyDescent="0.25">
      <c r="A111" s="18"/>
    </row>
    <row r="112" spans="1:1" s="7" customFormat="1" x14ac:dyDescent="0.25">
      <c r="A112" s="18"/>
    </row>
    <row r="113" spans="1:1" s="7" customFormat="1" x14ac:dyDescent="0.25">
      <c r="A113" s="18"/>
    </row>
    <row r="114" spans="1:1" s="7" customFormat="1" x14ac:dyDescent="0.25">
      <c r="A114" s="18"/>
    </row>
    <row r="115" spans="1:1" s="7" customFormat="1" x14ac:dyDescent="0.25">
      <c r="A115" s="18"/>
    </row>
    <row r="116" spans="1:1" s="7" customFormat="1" x14ac:dyDescent="0.25">
      <c r="A116" s="18"/>
    </row>
    <row r="117" spans="1:1" s="7" customFormat="1" x14ac:dyDescent="0.25">
      <c r="A117" s="18"/>
    </row>
    <row r="118" spans="1:1" s="7" customFormat="1" x14ac:dyDescent="0.25">
      <c r="A118" s="18"/>
    </row>
    <row r="119" spans="1:1" s="7" customFormat="1" x14ac:dyDescent="0.25">
      <c r="A119" s="18"/>
    </row>
    <row r="120" spans="1:1" s="7" customFormat="1" x14ac:dyDescent="0.25">
      <c r="A120" s="18"/>
    </row>
    <row r="121" spans="1:1" s="7" customFormat="1" x14ac:dyDescent="0.25">
      <c r="A121" s="18"/>
    </row>
    <row r="122" spans="1:1" s="7" customFormat="1" x14ac:dyDescent="0.25">
      <c r="A122" s="18"/>
    </row>
    <row r="123" spans="1:1" s="7" customFormat="1" x14ac:dyDescent="0.25">
      <c r="A123" s="18"/>
    </row>
    <row r="124" spans="1:1" s="7" customFormat="1" x14ac:dyDescent="0.25">
      <c r="A124" s="18"/>
    </row>
    <row r="125" spans="1:1" s="7" customFormat="1" x14ac:dyDescent="0.25">
      <c r="A125" s="18"/>
    </row>
    <row r="126" spans="1:1" s="7" customFormat="1" x14ac:dyDescent="0.25">
      <c r="A126" s="18"/>
    </row>
    <row r="127" spans="1:1" s="7" customFormat="1" x14ac:dyDescent="0.25">
      <c r="A127" s="18"/>
    </row>
    <row r="128" spans="1:1" s="7" customFormat="1" x14ac:dyDescent="0.25">
      <c r="A128" s="18"/>
    </row>
    <row r="129" spans="1:1" s="7" customFormat="1" x14ac:dyDescent="0.25">
      <c r="A129" s="18"/>
    </row>
    <row r="130" spans="1:1" s="7" customFormat="1" x14ac:dyDescent="0.25">
      <c r="A130" s="18"/>
    </row>
    <row r="131" spans="1:1" s="7" customFormat="1" x14ac:dyDescent="0.25">
      <c r="A131" s="18"/>
    </row>
    <row r="132" spans="1:1" s="7" customFormat="1" x14ac:dyDescent="0.25">
      <c r="A132" s="18"/>
    </row>
    <row r="133" spans="1:1" s="7" customFormat="1" x14ac:dyDescent="0.25">
      <c r="A133" s="18"/>
    </row>
    <row r="134" spans="1:1" s="7" customFormat="1" x14ac:dyDescent="0.25">
      <c r="A134" s="18"/>
    </row>
    <row r="135" spans="1:1" s="7" customFormat="1" x14ac:dyDescent="0.25">
      <c r="A135" s="18"/>
    </row>
    <row r="136" spans="1:1" s="7" customFormat="1" x14ac:dyDescent="0.25">
      <c r="A136" s="18"/>
    </row>
    <row r="137" spans="1:1" s="7" customFormat="1" x14ac:dyDescent="0.25">
      <c r="A137" s="18"/>
    </row>
    <row r="138" spans="1:1" s="7" customFormat="1" x14ac:dyDescent="0.25">
      <c r="A138" s="18"/>
    </row>
    <row r="139" spans="1:1" s="7" customFormat="1" x14ac:dyDescent="0.25">
      <c r="A139" s="18"/>
    </row>
    <row r="140" spans="1:1" s="7" customFormat="1" x14ac:dyDescent="0.25">
      <c r="A140" s="18"/>
    </row>
    <row r="141" spans="1:1" s="7" customFormat="1" x14ac:dyDescent="0.25">
      <c r="A141" s="18"/>
    </row>
    <row r="142" spans="1:1" s="7" customFormat="1" x14ac:dyDescent="0.25">
      <c r="A142" s="18"/>
    </row>
    <row r="143" spans="1:1" s="7" customFormat="1" x14ac:dyDescent="0.25">
      <c r="A143" s="18"/>
    </row>
    <row r="144" spans="1:1" s="7" customFormat="1" x14ac:dyDescent="0.25">
      <c r="A144" s="18"/>
    </row>
    <row r="145" spans="1:1" s="7" customFormat="1" x14ac:dyDescent="0.25">
      <c r="A145" s="18"/>
    </row>
    <row r="146" spans="1:1" s="7" customFormat="1" x14ac:dyDescent="0.25">
      <c r="A146" s="18"/>
    </row>
    <row r="147" spans="1:1" s="7" customFormat="1" x14ac:dyDescent="0.25">
      <c r="A147" s="18"/>
    </row>
    <row r="148" spans="1:1" s="7" customFormat="1" x14ac:dyDescent="0.25">
      <c r="A148" s="18"/>
    </row>
    <row r="149" spans="1:1" s="7" customFormat="1" x14ac:dyDescent="0.25">
      <c r="A149" s="18"/>
    </row>
    <row r="150" spans="1:1" s="7" customFormat="1" x14ac:dyDescent="0.25">
      <c r="A150" s="18"/>
    </row>
    <row r="151" spans="1:1" s="7" customFormat="1" x14ac:dyDescent="0.25">
      <c r="A151" s="18"/>
    </row>
    <row r="152" spans="1:1" s="7" customFormat="1" x14ac:dyDescent="0.25">
      <c r="A152" s="18"/>
    </row>
    <row r="153" spans="1:1" s="7" customFormat="1" x14ac:dyDescent="0.25">
      <c r="A153" s="18"/>
    </row>
    <row r="154" spans="1:1" s="7" customFormat="1" x14ac:dyDescent="0.25">
      <c r="A154" s="18"/>
    </row>
    <row r="155" spans="1:1" s="7" customFormat="1" x14ac:dyDescent="0.25">
      <c r="A155" s="18"/>
    </row>
    <row r="156" spans="1:1" s="7" customFormat="1" x14ac:dyDescent="0.25">
      <c r="A156" s="18"/>
    </row>
    <row r="157" spans="1:1" s="7" customFormat="1" x14ac:dyDescent="0.25">
      <c r="A157" s="18"/>
    </row>
    <row r="158" spans="1:1" s="7" customFormat="1" x14ac:dyDescent="0.25">
      <c r="A158" s="18"/>
    </row>
    <row r="159" spans="1:1" s="7" customFormat="1" x14ac:dyDescent="0.25">
      <c r="A159" s="18"/>
    </row>
    <row r="160" spans="1:1" s="7" customFormat="1" x14ac:dyDescent="0.25">
      <c r="A160" s="18"/>
    </row>
    <row r="161" spans="1:1" s="7" customFormat="1" x14ac:dyDescent="0.25">
      <c r="A161" s="18"/>
    </row>
    <row r="162" spans="1:1" s="7" customFormat="1" x14ac:dyDescent="0.25">
      <c r="A162" s="18"/>
    </row>
    <row r="163" spans="1:1" s="7" customFormat="1" x14ac:dyDescent="0.25">
      <c r="A163" s="18"/>
    </row>
    <row r="164" spans="1:1" s="7" customFormat="1" x14ac:dyDescent="0.25">
      <c r="A164" s="18"/>
    </row>
    <row r="165" spans="1:1" s="7" customFormat="1" x14ac:dyDescent="0.25">
      <c r="A165" s="18"/>
    </row>
    <row r="166" spans="1:1" s="7" customFormat="1" x14ac:dyDescent="0.25">
      <c r="A166" s="18"/>
    </row>
    <row r="167" spans="1:1" s="7" customFormat="1" x14ac:dyDescent="0.25">
      <c r="A167" s="18"/>
    </row>
    <row r="168" spans="1:1" s="7" customFormat="1" x14ac:dyDescent="0.25">
      <c r="A168" s="18"/>
    </row>
    <row r="169" spans="1:1" s="7" customFormat="1" x14ac:dyDescent="0.25">
      <c r="A169" s="18"/>
    </row>
    <row r="170" spans="1:1" s="7" customFormat="1" x14ac:dyDescent="0.25">
      <c r="A170" s="18"/>
    </row>
    <row r="171" spans="1:1" s="7" customFormat="1" x14ac:dyDescent="0.25">
      <c r="A171" s="18"/>
    </row>
    <row r="172" spans="1:1" s="7" customFormat="1" x14ac:dyDescent="0.25">
      <c r="A172" s="18"/>
    </row>
    <row r="173" spans="1:1" s="7" customFormat="1" x14ac:dyDescent="0.25">
      <c r="A173" s="18"/>
    </row>
    <row r="174" spans="1:1" s="7" customFormat="1" x14ac:dyDescent="0.25">
      <c r="A174" s="18"/>
    </row>
    <row r="175" spans="1:1" s="7" customFormat="1" x14ac:dyDescent="0.25">
      <c r="A175" s="18"/>
    </row>
    <row r="176" spans="1:1" s="7" customFormat="1" x14ac:dyDescent="0.25">
      <c r="A176" s="18"/>
    </row>
    <row r="177" spans="1:1" s="7" customFormat="1" x14ac:dyDescent="0.25">
      <c r="A177" s="18"/>
    </row>
    <row r="178" spans="1:1" s="7" customFormat="1" x14ac:dyDescent="0.25">
      <c r="A178" s="18"/>
    </row>
    <row r="179" spans="1:1" s="7" customFormat="1" x14ac:dyDescent="0.25">
      <c r="A179" s="18"/>
    </row>
    <row r="180" spans="1:1" s="7" customFormat="1" x14ac:dyDescent="0.25">
      <c r="A180" s="18"/>
    </row>
    <row r="181" spans="1:1" s="7" customFormat="1" x14ac:dyDescent="0.25">
      <c r="A181" s="18"/>
    </row>
    <row r="182" spans="1:1" s="7" customFormat="1" x14ac:dyDescent="0.25">
      <c r="A182" s="18"/>
    </row>
    <row r="183" spans="1:1" s="7" customFormat="1" x14ac:dyDescent="0.25">
      <c r="A183" s="18"/>
    </row>
    <row r="184" spans="1:1" s="7" customFormat="1" x14ac:dyDescent="0.25">
      <c r="A184" s="18"/>
    </row>
    <row r="185" spans="1:1" s="7" customFormat="1" x14ac:dyDescent="0.25">
      <c r="A185" s="18"/>
    </row>
    <row r="186" spans="1:1" s="7" customFormat="1" x14ac:dyDescent="0.25">
      <c r="A186" s="18"/>
    </row>
    <row r="187" spans="1:1" s="7" customFormat="1" x14ac:dyDescent="0.25">
      <c r="A187" s="18"/>
    </row>
    <row r="188" spans="1:1" s="7" customFormat="1" x14ac:dyDescent="0.25">
      <c r="A188" s="18"/>
    </row>
    <row r="189" spans="1:1" s="7" customFormat="1" x14ac:dyDescent="0.25">
      <c r="A189" s="18"/>
    </row>
    <row r="190" spans="1:1" s="7" customFormat="1" x14ac:dyDescent="0.25">
      <c r="A190" s="18"/>
    </row>
    <row r="191" spans="1:1" s="7" customFormat="1" x14ac:dyDescent="0.25">
      <c r="A191" s="18"/>
    </row>
    <row r="192" spans="1:1" s="7" customFormat="1" x14ac:dyDescent="0.25">
      <c r="A192" s="18"/>
    </row>
    <row r="193" spans="1:1" s="7" customFormat="1" x14ac:dyDescent="0.25">
      <c r="A193" s="18"/>
    </row>
    <row r="194" spans="1:1" s="7" customFormat="1" x14ac:dyDescent="0.25">
      <c r="A194" s="18"/>
    </row>
    <row r="195" spans="1:1" s="7" customFormat="1" x14ac:dyDescent="0.25">
      <c r="A195" s="18"/>
    </row>
    <row r="196" spans="1:1" s="7" customFormat="1" x14ac:dyDescent="0.25">
      <c r="A196" s="18"/>
    </row>
    <row r="197" spans="1:1" s="7" customFormat="1" x14ac:dyDescent="0.25">
      <c r="A197" s="18"/>
    </row>
    <row r="198" spans="1:1" s="7" customFormat="1" x14ac:dyDescent="0.25">
      <c r="A198" s="18"/>
    </row>
    <row r="199" spans="1:1" s="7" customFormat="1" x14ac:dyDescent="0.25">
      <c r="A199" s="18"/>
    </row>
    <row r="200" spans="1:1" s="7" customFormat="1" x14ac:dyDescent="0.25">
      <c r="A200" s="18"/>
    </row>
    <row r="201" spans="1:1" s="7" customFormat="1" x14ac:dyDescent="0.25">
      <c r="A201" s="18"/>
    </row>
    <row r="202" spans="1:1" s="7" customFormat="1" x14ac:dyDescent="0.25">
      <c r="A202" s="18"/>
    </row>
    <row r="203" spans="1:1" s="7" customFormat="1" x14ac:dyDescent="0.25">
      <c r="A203" s="18"/>
    </row>
    <row r="204" spans="1:1" s="7" customFormat="1" x14ac:dyDescent="0.25">
      <c r="A204" s="18"/>
    </row>
    <row r="205" spans="1:1" s="7" customFormat="1" x14ac:dyDescent="0.25">
      <c r="A205" s="18"/>
    </row>
    <row r="206" spans="1:1" s="7" customFormat="1" x14ac:dyDescent="0.25">
      <c r="A206" s="18"/>
    </row>
    <row r="207" spans="1:1" s="7" customFormat="1" x14ac:dyDescent="0.25">
      <c r="A207" s="18"/>
    </row>
    <row r="208" spans="1:1" s="7" customFormat="1" x14ac:dyDescent="0.25">
      <c r="A208" s="18"/>
    </row>
    <row r="209" spans="1:1" s="7" customFormat="1" x14ac:dyDescent="0.25">
      <c r="A209" s="18"/>
    </row>
    <row r="210" spans="1:1" s="7" customFormat="1" x14ac:dyDescent="0.25">
      <c r="A210" s="18"/>
    </row>
    <row r="211" spans="1:1" s="7" customFormat="1" x14ac:dyDescent="0.25">
      <c r="A211" s="18"/>
    </row>
    <row r="212" spans="1:1" s="7" customFormat="1" x14ac:dyDescent="0.25">
      <c r="A212" s="18"/>
    </row>
    <row r="213" spans="1:1" s="7" customFormat="1" x14ac:dyDescent="0.25">
      <c r="A213" s="18"/>
    </row>
    <row r="214" spans="1:1" s="7" customFormat="1" x14ac:dyDescent="0.25">
      <c r="A214" s="18"/>
    </row>
    <row r="215" spans="1:1" s="7" customFormat="1" x14ac:dyDescent="0.25">
      <c r="A215" s="18"/>
    </row>
    <row r="216" spans="1:1" s="7" customFormat="1" x14ac:dyDescent="0.25">
      <c r="A216" s="18"/>
    </row>
    <row r="217" spans="1:1" s="7" customFormat="1" x14ac:dyDescent="0.25">
      <c r="A217" s="18"/>
    </row>
    <row r="218" spans="1:1" s="7" customFormat="1" x14ac:dyDescent="0.25">
      <c r="A218" s="18"/>
    </row>
    <row r="219" spans="1:1" s="7" customFormat="1" x14ac:dyDescent="0.25">
      <c r="A219" s="18"/>
    </row>
    <row r="220" spans="1:1" s="7" customFormat="1" x14ac:dyDescent="0.25">
      <c r="A220" s="18"/>
    </row>
    <row r="221" spans="1:1" s="7" customFormat="1" x14ac:dyDescent="0.25">
      <c r="A221" s="18"/>
    </row>
    <row r="222" spans="1:1" s="7" customFormat="1" x14ac:dyDescent="0.25">
      <c r="A222" s="18"/>
    </row>
    <row r="223" spans="1:1" s="7" customFormat="1" x14ac:dyDescent="0.25">
      <c r="A223" s="18"/>
    </row>
    <row r="224" spans="1:1" s="7" customFormat="1" x14ac:dyDescent="0.25">
      <c r="A224" s="18"/>
    </row>
    <row r="225" spans="1:1" s="7" customFormat="1" x14ac:dyDescent="0.25">
      <c r="A225" s="18"/>
    </row>
    <row r="226" spans="1:1" s="7" customFormat="1" x14ac:dyDescent="0.25">
      <c r="A226" s="18"/>
    </row>
    <row r="227" spans="1:1" s="7" customFormat="1" x14ac:dyDescent="0.25">
      <c r="A227" s="18"/>
    </row>
    <row r="228" spans="1:1" s="7" customFormat="1" x14ac:dyDescent="0.25">
      <c r="A228" s="18"/>
    </row>
    <row r="229" spans="1:1" s="7" customFormat="1" x14ac:dyDescent="0.25">
      <c r="A229" s="18"/>
    </row>
    <row r="230" spans="1:1" s="7" customFormat="1" x14ac:dyDescent="0.25">
      <c r="A230" s="18"/>
    </row>
    <row r="231" spans="1:1" s="7" customFormat="1" x14ac:dyDescent="0.25">
      <c r="A231" s="18"/>
    </row>
    <row r="232" spans="1:1" s="7" customFormat="1" x14ac:dyDescent="0.25">
      <c r="A232" s="18"/>
    </row>
    <row r="233" spans="1:1" s="7" customFormat="1" x14ac:dyDescent="0.25">
      <c r="A233" s="18"/>
    </row>
    <row r="234" spans="1:1" s="7" customFormat="1" x14ac:dyDescent="0.25">
      <c r="A234" s="18"/>
    </row>
    <row r="235" spans="1:1" s="7" customFormat="1" x14ac:dyDescent="0.25">
      <c r="A235" s="18"/>
    </row>
    <row r="236" spans="1:1" s="7" customFormat="1" x14ac:dyDescent="0.25">
      <c r="A236" s="18"/>
    </row>
    <row r="237" spans="1:1" s="7" customFormat="1" x14ac:dyDescent="0.25">
      <c r="A237" s="18"/>
    </row>
    <row r="238" spans="1:1" s="7" customFormat="1" x14ac:dyDescent="0.25">
      <c r="A238" s="18"/>
    </row>
    <row r="239" spans="1:1" s="7" customFormat="1" x14ac:dyDescent="0.25">
      <c r="A239" s="18"/>
    </row>
    <row r="240" spans="1:1" s="7" customFormat="1" x14ac:dyDescent="0.25">
      <c r="A240" s="18"/>
    </row>
    <row r="241" spans="1:1" s="7" customFormat="1" x14ac:dyDescent="0.25">
      <c r="A241" s="18"/>
    </row>
    <row r="242" spans="1:1" s="7" customFormat="1" x14ac:dyDescent="0.25">
      <c r="A242" s="18"/>
    </row>
    <row r="243" spans="1:1" s="7" customFormat="1" x14ac:dyDescent="0.25">
      <c r="A243" s="18"/>
    </row>
    <row r="244" spans="1:1" s="7" customFormat="1" x14ac:dyDescent="0.25">
      <c r="A244" s="18"/>
    </row>
    <row r="245" spans="1:1" s="7" customFormat="1" x14ac:dyDescent="0.25">
      <c r="A245" s="18"/>
    </row>
    <row r="246" spans="1:1" s="7" customFormat="1" x14ac:dyDescent="0.25">
      <c r="A246" s="18"/>
    </row>
    <row r="247" spans="1:1" s="7" customFormat="1" x14ac:dyDescent="0.25">
      <c r="A247" s="18"/>
    </row>
    <row r="248" spans="1:1" s="7" customFormat="1" x14ac:dyDescent="0.25">
      <c r="A248" s="18"/>
    </row>
    <row r="249" spans="1:1" s="7" customFormat="1" x14ac:dyDescent="0.25">
      <c r="A249" s="18"/>
    </row>
    <row r="250" spans="1:1" s="7" customFormat="1" x14ac:dyDescent="0.25">
      <c r="A250" s="18"/>
    </row>
    <row r="251" spans="1:1" s="7" customFormat="1" x14ac:dyDescent="0.25">
      <c r="A251" s="18"/>
    </row>
    <row r="252" spans="1:1" s="7" customFormat="1" x14ac:dyDescent="0.25">
      <c r="A252" s="18"/>
    </row>
    <row r="253" spans="1:1" s="7" customFormat="1" x14ac:dyDescent="0.25">
      <c r="A253" s="18"/>
    </row>
    <row r="254" spans="1:1" s="7" customFormat="1" x14ac:dyDescent="0.25">
      <c r="A254" s="18"/>
    </row>
    <row r="255" spans="1:1" s="7" customFormat="1" x14ac:dyDescent="0.25">
      <c r="A255" s="18"/>
    </row>
    <row r="256" spans="1:1" s="7" customFormat="1" x14ac:dyDescent="0.25">
      <c r="A256" s="18"/>
    </row>
    <row r="257" spans="1:1" s="7" customFormat="1" x14ac:dyDescent="0.25">
      <c r="A257" s="18"/>
    </row>
    <row r="258" spans="1:1" s="7" customFormat="1" x14ac:dyDescent="0.25">
      <c r="A258" s="18"/>
    </row>
    <row r="259" spans="1:1" s="7" customFormat="1" x14ac:dyDescent="0.25">
      <c r="A259" s="18"/>
    </row>
    <row r="260" spans="1:1" s="7" customFormat="1" x14ac:dyDescent="0.25">
      <c r="A260" s="18"/>
    </row>
    <row r="261" spans="1:1" s="7" customFormat="1" x14ac:dyDescent="0.25">
      <c r="A261" s="18"/>
    </row>
    <row r="262" spans="1:1" s="7" customFormat="1" x14ac:dyDescent="0.25">
      <c r="A262" s="18"/>
    </row>
    <row r="263" spans="1:1" s="7" customFormat="1" x14ac:dyDescent="0.25">
      <c r="A263" s="18"/>
    </row>
    <row r="264" spans="1:1" s="7" customFormat="1" x14ac:dyDescent="0.25">
      <c r="A264" s="18"/>
    </row>
    <row r="265" spans="1:1" s="7" customFormat="1" x14ac:dyDescent="0.25">
      <c r="A265" s="18"/>
    </row>
    <row r="266" spans="1:1" s="7" customFormat="1" x14ac:dyDescent="0.25">
      <c r="A266" s="18"/>
    </row>
    <row r="267" spans="1:1" s="7" customFormat="1" x14ac:dyDescent="0.25">
      <c r="A267" s="18"/>
    </row>
    <row r="268" spans="1:1" s="7" customFormat="1" x14ac:dyDescent="0.25">
      <c r="A268" s="18"/>
    </row>
    <row r="269" spans="1:1" s="7" customFormat="1" x14ac:dyDescent="0.25">
      <c r="A269" s="18"/>
    </row>
    <row r="270" spans="1:1" s="7" customFormat="1" x14ac:dyDescent="0.25">
      <c r="A270" s="18"/>
    </row>
    <row r="271" spans="1:1" s="7" customFormat="1" x14ac:dyDescent="0.25">
      <c r="A271" s="18"/>
    </row>
    <row r="272" spans="1:1" s="7" customFormat="1" x14ac:dyDescent="0.25">
      <c r="A272" s="18"/>
    </row>
    <row r="273" spans="1:1" s="7" customFormat="1" x14ac:dyDescent="0.25">
      <c r="A273" s="18"/>
    </row>
    <row r="274" spans="1:1" s="7" customFormat="1" x14ac:dyDescent="0.25">
      <c r="A274" s="18"/>
    </row>
    <row r="275" spans="1:1" s="7" customFormat="1" x14ac:dyDescent="0.25">
      <c r="A275" s="18"/>
    </row>
    <row r="276" spans="1:1" s="7" customFormat="1" x14ac:dyDescent="0.25">
      <c r="A276" s="18"/>
    </row>
    <row r="277" spans="1:1" s="7" customFormat="1" x14ac:dyDescent="0.25">
      <c r="A277" s="18"/>
    </row>
    <row r="278" spans="1:1" s="7" customFormat="1" x14ac:dyDescent="0.25">
      <c r="A278" s="18"/>
    </row>
    <row r="279" spans="1:1" s="7" customFormat="1" x14ac:dyDescent="0.25">
      <c r="A279" s="18"/>
    </row>
    <row r="280" spans="1:1" s="7" customFormat="1" x14ac:dyDescent="0.25">
      <c r="A280" s="18"/>
    </row>
    <row r="281" spans="1:1" s="7" customFormat="1" x14ac:dyDescent="0.25">
      <c r="A281" s="18"/>
    </row>
    <row r="282" spans="1:1" s="7" customFormat="1" x14ac:dyDescent="0.25">
      <c r="A282" s="18"/>
    </row>
    <row r="283" spans="1:1" s="7" customFormat="1" x14ac:dyDescent="0.25">
      <c r="A283" s="18"/>
    </row>
    <row r="284" spans="1:1" s="7" customFormat="1" x14ac:dyDescent="0.25">
      <c r="A284" s="18"/>
    </row>
    <row r="285" spans="1:1" s="7" customFormat="1" x14ac:dyDescent="0.25">
      <c r="A285" s="18"/>
    </row>
    <row r="286" spans="1:1" s="7" customFormat="1" x14ac:dyDescent="0.25">
      <c r="A286" s="18"/>
    </row>
    <row r="287" spans="1:1" s="7" customFormat="1" x14ac:dyDescent="0.25">
      <c r="A287" s="18"/>
    </row>
    <row r="288" spans="1:1" s="7" customFormat="1" x14ac:dyDescent="0.25">
      <c r="A288" s="18"/>
    </row>
    <row r="289" spans="1:1" s="7" customFormat="1" x14ac:dyDescent="0.25">
      <c r="A289" s="18"/>
    </row>
    <row r="290" spans="1:1" s="7" customFormat="1" x14ac:dyDescent="0.25">
      <c r="A290" s="18"/>
    </row>
    <row r="291" spans="1:1" s="7" customFormat="1" x14ac:dyDescent="0.25">
      <c r="A291" s="18"/>
    </row>
    <row r="292" spans="1:1" s="7" customFormat="1" x14ac:dyDescent="0.25">
      <c r="A292" s="18"/>
    </row>
    <row r="293" spans="1:1" s="7" customFormat="1" x14ac:dyDescent="0.25">
      <c r="A293" s="18"/>
    </row>
    <row r="294" spans="1:1" s="7" customFormat="1" x14ac:dyDescent="0.25">
      <c r="A294" s="18"/>
    </row>
    <row r="295" spans="1:1" s="7" customFormat="1" x14ac:dyDescent="0.25">
      <c r="A295" s="18"/>
    </row>
    <row r="296" spans="1:1" s="7" customFormat="1" x14ac:dyDescent="0.25">
      <c r="A296" s="18"/>
    </row>
    <row r="297" spans="1:1" s="7" customFormat="1" x14ac:dyDescent="0.25">
      <c r="A297" s="18"/>
    </row>
    <row r="298" spans="1:1" s="7" customFormat="1" x14ac:dyDescent="0.25">
      <c r="A298" s="18"/>
    </row>
    <row r="299" spans="1:1" s="7" customFormat="1" x14ac:dyDescent="0.25">
      <c r="A299" s="18"/>
    </row>
    <row r="300" spans="1:1" s="7" customFormat="1" x14ac:dyDescent="0.25">
      <c r="A300" s="18"/>
    </row>
    <row r="301" spans="1:1" s="7" customFormat="1" x14ac:dyDescent="0.25">
      <c r="A301" s="18"/>
    </row>
    <row r="302" spans="1:1" s="7" customFormat="1" x14ac:dyDescent="0.25">
      <c r="A302" s="18"/>
    </row>
    <row r="303" spans="1:1" s="7" customFormat="1" x14ac:dyDescent="0.25">
      <c r="A303" s="18"/>
    </row>
    <row r="304" spans="1:1" s="7" customFormat="1" x14ac:dyDescent="0.25">
      <c r="A304" s="18"/>
    </row>
    <row r="305" spans="1:1" s="7" customFormat="1" x14ac:dyDescent="0.25">
      <c r="A305" s="18"/>
    </row>
    <row r="306" spans="1:1" s="7" customFormat="1" x14ac:dyDescent="0.25">
      <c r="A306" s="18"/>
    </row>
    <row r="307" spans="1:1" s="7" customFormat="1" x14ac:dyDescent="0.25">
      <c r="A307" s="18"/>
    </row>
    <row r="308" spans="1:1" s="7" customFormat="1" x14ac:dyDescent="0.25">
      <c r="A308" s="18"/>
    </row>
    <row r="309" spans="1:1" s="7" customFormat="1" x14ac:dyDescent="0.25">
      <c r="A309" s="18"/>
    </row>
    <row r="310" spans="1:1" s="7" customFormat="1" x14ac:dyDescent="0.25">
      <c r="A310" s="18"/>
    </row>
    <row r="311" spans="1:1" s="7" customFormat="1" x14ac:dyDescent="0.25">
      <c r="A311" s="18"/>
    </row>
    <row r="312" spans="1:1" s="7" customFormat="1" x14ac:dyDescent="0.25">
      <c r="A312" s="18"/>
    </row>
    <row r="313" spans="1:1" s="7" customFormat="1" x14ac:dyDescent="0.25">
      <c r="A313" s="18"/>
    </row>
    <row r="314" spans="1:1" s="7" customFormat="1" x14ac:dyDescent="0.25">
      <c r="A314" s="18"/>
    </row>
    <row r="315" spans="1:1" s="7" customFormat="1" x14ac:dyDescent="0.25">
      <c r="A315" s="18"/>
    </row>
    <row r="316" spans="1:1" s="7" customFormat="1" x14ac:dyDescent="0.25">
      <c r="A316" s="18"/>
    </row>
    <row r="317" spans="1:1" s="7" customFormat="1" x14ac:dyDescent="0.25">
      <c r="A317" s="18"/>
    </row>
    <row r="318" spans="1:1" s="7" customFormat="1" x14ac:dyDescent="0.25">
      <c r="A318" s="18"/>
    </row>
    <row r="319" spans="1:1" s="7" customFormat="1" x14ac:dyDescent="0.25">
      <c r="A319" s="18"/>
    </row>
    <row r="320" spans="1:1" s="7" customFormat="1" x14ac:dyDescent="0.25">
      <c r="A320" s="18"/>
    </row>
    <row r="321" spans="1:1" s="7" customFormat="1" x14ac:dyDescent="0.25">
      <c r="A321" s="18"/>
    </row>
    <row r="322" spans="1:1" s="7" customFormat="1" x14ac:dyDescent="0.25">
      <c r="A322" s="18"/>
    </row>
    <row r="323" spans="1:1" s="7" customFormat="1" x14ac:dyDescent="0.25">
      <c r="A323" s="18"/>
    </row>
    <row r="324" spans="1:1" s="7" customFormat="1" x14ac:dyDescent="0.25">
      <c r="A324" s="18"/>
    </row>
    <row r="325" spans="1:1" s="7" customFormat="1" x14ac:dyDescent="0.25">
      <c r="A325" s="18"/>
    </row>
    <row r="326" spans="1:1" s="7" customFormat="1" x14ac:dyDescent="0.25">
      <c r="A326" s="18"/>
    </row>
    <row r="327" spans="1:1" s="7" customFormat="1" x14ac:dyDescent="0.25">
      <c r="A327" s="18"/>
    </row>
    <row r="328" spans="1:1" s="7" customFormat="1" x14ac:dyDescent="0.25">
      <c r="A328" s="18"/>
    </row>
    <row r="329" spans="1:1" s="7" customFormat="1" x14ac:dyDescent="0.25">
      <c r="A329" s="18"/>
    </row>
    <row r="330" spans="1:1" s="7" customFormat="1" x14ac:dyDescent="0.25">
      <c r="A330" s="18"/>
    </row>
    <row r="331" spans="1:1" s="7" customFormat="1" x14ac:dyDescent="0.25">
      <c r="A331" s="18"/>
    </row>
    <row r="332" spans="1:1" s="7" customFormat="1" x14ac:dyDescent="0.25">
      <c r="A332" s="18"/>
    </row>
    <row r="333" spans="1:1" s="7" customFormat="1" x14ac:dyDescent="0.25">
      <c r="A333" s="18"/>
    </row>
    <row r="334" spans="1:1" s="7" customFormat="1" x14ac:dyDescent="0.25">
      <c r="A334" s="18"/>
    </row>
    <row r="335" spans="1:1" s="7" customFormat="1" x14ac:dyDescent="0.25">
      <c r="A335" s="18"/>
    </row>
    <row r="336" spans="1:1" s="7" customFormat="1" x14ac:dyDescent="0.25">
      <c r="A336" s="18"/>
    </row>
    <row r="337" spans="1:1" s="7" customFormat="1" x14ac:dyDescent="0.25">
      <c r="A337" s="18"/>
    </row>
    <row r="338" spans="1:1" s="7" customFormat="1" x14ac:dyDescent="0.25">
      <c r="A338" s="18"/>
    </row>
    <row r="339" spans="1:1" s="7" customFormat="1" x14ac:dyDescent="0.25">
      <c r="A339" s="18"/>
    </row>
    <row r="340" spans="1:1" s="7" customFormat="1" x14ac:dyDescent="0.25">
      <c r="A340" s="18"/>
    </row>
    <row r="341" spans="1:1" s="7" customFormat="1" x14ac:dyDescent="0.25">
      <c r="A341" s="18"/>
    </row>
    <row r="342" spans="1:1" s="7" customFormat="1" x14ac:dyDescent="0.25">
      <c r="A342" s="18"/>
    </row>
    <row r="343" spans="1:1" s="7" customFormat="1" x14ac:dyDescent="0.25">
      <c r="A343" s="18"/>
    </row>
    <row r="344" spans="1:1" s="7" customFormat="1" x14ac:dyDescent="0.25">
      <c r="A344" s="18"/>
    </row>
    <row r="345" spans="1:1" s="7" customFormat="1" x14ac:dyDescent="0.25">
      <c r="A345" s="18"/>
    </row>
    <row r="346" spans="1:1" s="7" customFormat="1" x14ac:dyDescent="0.25">
      <c r="A346" s="18"/>
    </row>
    <row r="347" spans="1:1" s="7" customFormat="1" x14ac:dyDescent="0.25">
      <c r="A347" s="18"/>
    </row>
    <row r="348" spans="1:1" s="7" customFormat="1" x14ac:dyDescent="0.25">
      <c r="A348" s="18"/>
    </row>
    <row r="349" spans="1:1" s="7" customFormat="1" x14ac:dyDescent="0.25">
      <c r="A349" s="18"/>
    </row>
    <row r="350" spans="1:1" s="7" customFormat="1" x14ac:dyDescent="0.25">
      <c r="A350" s="18"/>
    </row>
    <row r="351" spans="1:1" s="7" customFormat="1" x14ac:dyDescent="0.25">
      <c r="A351" s="18"/>
    </row>
    <row r="352" spans="1:1" s="7" customFormat="1" x14ac:dyDescent="0.25">
      <c r="A352" s="18"/>
    </row>
    <row r="353" spans="1:1" s="7" customFormat="1" x14ac:dyDescent="0.25">
      <c r="A353" s="18"/>
    </row>
    <row r="354" spans="1:1" s="7" customFormat="1" x14ac:dyDescent="0.25">
      <c r="A354" s="18"/>
    </row>
    <row r="355" spans="1:1" s="7" customFormat="1" x14ac:dyDescent="0.25">
      <c r="A355" s="18"/>
    </row>
    <row r="356" spans="1:1" s="7" customFormat="1" x14ac:dyDescent="0.25">
      <c r="A356" s="18"/>
    </row>
    <row r="357" spans="1:1" s="7" customFormat="1" x14ac:dyDescent="0.25">
      <c r="A357" s="18"/>
    </row>
    <row r="358" spans="1:1" s="7" customFormat="1" x14ac:dyDescent="0.25">
      <c r="A358" s="18"/>
    </row>
    <row r="359" spans="1:1" s="7" customFormat="1" x14ac:dyDescent="0.25">
      <c r="A359" s="18"/>
    </row>
    <row r="360" spans="1:1" s="7" customFormat="1" x14ac:dyDescent="0.25">
      <c r="A360" s="18"/>
    </row>
    <row r="361" spans="1:1" s="7" customFormat="1" x14ac:dyDescent="0.25">
      <c r="A361" s="18"/>
    </row>
    <row r="362" spans="1:1" s="7" customFormat="1" x14ac:dyDescent="0.25">
      <c r="A362" s="18"/>
    </row>
    <row r="363" spans="1:1" s="7" customFormat="1" x14ac:dyDescent="0.25">
      <c r="A363" s="18"/>
    </row>
    <row r="364" spans="1:1" s="7" customFormat="1" x14ac:dyDescent="0.25">
      <c r="A364" s="18"/>
    </row>
    <row r="365" spans="1:1" s="7" customFormat="1" x14ac:dyDescent="0.25">
      <c r="A365" s="18"/>
    </row>
    <row r="366" spans="1:1" s="7" customFormat="1" x14ac:dyDescent="0.25">
      <c r="A366" s="18"/>
    </row>
    <row r="367" spans="1:1" s="7" customFormat="1" x14ac:dyDescent="0.25">
      <c r="A367" s="18"/>
    </row>
    <row r="368" spans="1:1" s="7" customFormat="1" x14ac:dyDescent="0.25">
      <c r="A368" s="18"/>
    </row>
    <row r="369" spans="1:1" s="7" customFormat="1" x14ac:dyDescent="0.25">
      <c r="A369" s="18"/>
    </row>
    <row r="370" spans="1:1" s="7" customFormat="1" x14ac:dyDescent="0.25">
      <c r="A370" s="18"/>
    </row>
    <row r="371" spans="1:1" s="7" customFormat="1" x14ac:dyDescent="0.25">
      <c r="A371" s="18"/>
    </row>
    <row r="372" spans="1:1" s="7" customFormat="1" x14ac:dyDescent="0.25">
      <c r="A372" s="18"/>
    </row>
    <row r="373" spans="1:1" s="7" customFormat="1" x14ac:dyDescent="0.25">
      <c r="A373" s="18"/>
    </row>
    <row r="374" spans="1:1" s="7" customFormat="1" x14ac:dyDescent="0.25">
      <c r="A374" s="18"/>
    </row>
    <row r="375" spans="1:1" s="7" customFormat="1" x14ac:dyDescent="0.25">
      <c r="A375" s="18"/>
    </row>
    <row r="376" spans="1:1" s="7" customFormat="1" x14ac:dyDescent="0.25">
      <c r="A376" s="18"/>
    </row>
    <row r="377" spans="1:1" s="7" customFormat="1" x14ac:dyDescent="0.25">
      <c r="A377" s="18"/>
    </row>
    <row r="378" spans="1:1" s="7" customFormat="1" x14ac:dyDescent="0.25">
      <c r="A378" s="18"/>
    </row>
    <row r="379" spans="1:1" s="7" customFormat="1" x14ac:dyDescent="0.25">
      <c r="A379" s="18"/>
    </row>
    <row r="380" spans="1:1" s="7" customFormat="1" x14ac:dyDescent="0.25">
      <c r="A380" s="18"/>
    </row>
    <row r="381" spans="1:1" s="7" customFormat="1" x14ac:dyDescent="0.25">
      <c r="A381" s="18"/>
    </row>
    <row r="382" spans="1:1" s="7" customFormat="1" x14ac:dyDescent="0.25">
      <c r="A382" s="18"/>
    </row>
    <row r="383" spans="1:1" s="7" customFormat="1" x14ac:dyDescent="0.25">
      <c r="A383" s="18"/>
    </row>
    <row r="384" spans="1:1" s="7" customFormat="1" x14ac:dyDescent="0.25">
      <c r="A384" s="18"/>
    </row>
    <row r="385" spans="1:1" s="7" customFormat="1" x14ac:dyDescent="0.25">
      <c r="A385" s="18"/>
    </row>
    <row r="386" spans="1:1" s="7" customFormat="1" x14ac:dyDescent="0.25">
      <c r="A386" s="18"/>
    </row>
    <row r="387" spans="1:1" s="7" customFormat="1" x14ac:dyDescent="0.25">
      <c r="A387" s="18"/>
    </row>
    <row r="388" spans="1:1" s="7" customFormat="1" x14ac:dyDescent="0.25">
      <c r="A388" s="18"/>
    </row>
    <row r="389" spans="1:1" s="7" customFormat="1" x14ac:dyDescent="0.25">
      <c r="A389" s="18"/>
    </row>
    <row r="390" spans="1:1" s="7" customFormat="1" x14ac:dyDescent="0.25">
      <c r="A390" s="18"/>
    </row>
    <row r="391" spans="1:1" s="7" customFormat="1" x14ac:dyDescent="0.25">
      <c r="A391" s="18"/>
    </row>
    <row r="392" spans="1:1" s="7" customFormat="1" x14ac:dyDescent="0.25">
      <c r="A392" s="18"/>
    </row>
    <row r="393" spans="1:1" s="7" customFormat="1" x14ac:dyDescent="0.25">
      <c r="A393" s="18"/>
    </row>
    <row r="394" spans="1:1" s="7" customFormat="1" x14ac:dyDescent="0.25">
      <c r="A394" s="18"/>
    </row>
    <row r="395" spans="1:1" s="7" customFormat="1" x14ac:dyDescent="0.25">
      <c r="A395" s="18"/>
    </row>
    <row r="396" spans="1:1" s="7" customFormat="1" x14ac:dyDescent="0.25">
      <c r="A396" s="18"/>
    </row>
    <row r="397" spans="1:1" s="7" customFormat="1" x14ac:dyDescent="0.25">
      <c r="A397" s="18"/>
    </row>
    <row r="398" spans="1:1" s="7" customFormat="1" x14ac:dyDescent="0.25">
      <c r="A398" s="18"/>
    </row>
    <row r="399" spans="1:1" s="7" customFormat="1" x14ac:dyDescent="0.25">
      <c r="A399" s="18"/>
    </row>
    <row r="400" spans="1:1" s="7" customFormat="1" x14ac:dyDescent="0.25">
      <c r="A400" s="18"/>
    </row>
    <row r="401" spans="1:1" s="7" customFormat="1" x14ac:dyDescent="0.25">
      <c r="A401" s="18"/>
    </row>
    <row r="402" spans="1:1" s="7" customFormat="1" x14ac:dyDescent="0.25">
      <c r="A402" s="18"/>
    </row>
    <row r="403" spans="1:1" s="7" customFormat="1" x14ac:dyDescent="0.25">
      <c r="A403" s="18"/>
    </row>
    <row r="404" spans="1:1" s="7" customFormat="1" x14ac:dyDescent="0.25">
      <c r="A404" s="18"/>
    </row>
    <row r="405" spans="1:1" s="7" customFormat="1" x14ac:dyDescent="0.25">
      <c r="A405" s="18"/>
    </row>
    <row r="406" spans="1:1" s="7" customFormat="1" x14ac:dyDescent="0.25">
      <c r="A406" s="18"/>
    </row>
    <row r="407" spans="1:1" s="7" customFormat="1" x14ac:dyDescent="0.25">
      <c r="A407" s="18"/>
    </row>
    <row r="408" spans="1:1" s="7" customFormat="1" x14ac:dyDescent="0.25">
      <c r="A408" s="18"/>
    </row>
    <row r="409" spans="1:1" s="7" customFormat="1" x14ac:dyDescent="0.25">
      <c r="A409" s="18"/>
    </row>
    <row r="410" spans="1:1" s="7" customFormat="1" x14ac:dyDescent="0.25">
      <c r="A410" s="18"/>
    </row>
    <row r="411" spans="1:1" s="7" customFormat="1" x14ac:dyDescent="0.25">
      <c r="A411" s="18"/>
    </row>
    <row r="412" spans="1:1" s="7" customFormat="1" x14ac:dyDescent="0.25">
      <c r="A412" s="18"/>
    </row>
    <row r="413" spans="1:1" s="7" customFormat="1" x14ac:dyDescent="0.25">
      <c r="A413" s="18"/>
    </row>
    <row r="414" spans="1:1" s="7" customFormat="1" x14ac:dyDescent="0.25">
      <c r="A414" s="18"/>
    </row>
    <row r="415" spans="1:1" s="7" customFormat="1" x14ac:dyDescent="0.25">
      <c r="A415" s="18"/>
    </row>
    <row r="416" spans="1:1" s="7" customFormat="1" x14ac:dyDescent="0.25">
      <c r="A416" s="18"/>
    </row>
    <row r="417" spans="1:1" s="7" customFormat="1" x14ac:dyDescent="0.25">
      <c r="A417" s="18"/>
    </row>
    <row r="418" spans="1:1" s="7" customFormat="1" x14ac:dyDescent="0.25">
      <c r="A418" s="18"/>
    </row>
    <row r="419" spans="1:1" s="7" customFormat="1" x14ac:dyDescent="0.25">
      <c r="A419" s="18"/>
    </row>
    <row r="420" spans="1:1" s="7" customFormat="1" x14ac:dyDescent="0.25">
      <c r="A420" s="18"/>
    </row>
    <row r="421" spans="1:1" s="7" customFormat="1" x14ac:dyDescent="0.25">
      <c r="A421" s="18"/>
    </row>
    <row r="422" spans="1:1" s="7" customFormat="1" x14ac:dyDescent="0.25">
      <c r="A422" s="18"/>
    </row>
    <row r="423" spans="1:1" s="7" customFormat="1" x14ac:dyDescent="0.25">
      <c r="A423" s="18"/>
    </row>
    <row r="424" spans="1:1" s="7" customFormat="1" x14ac:dyDescent="0.25">
      <c r="A424" s="18"/>
    </row>
    <row r="425" spans="1:1" s="7" customFormat="1" x14ac:dyDescent="0.25">
      <c r="A425" s="18"/>
    </row>
    <row r="426" spans="1:1" s="7" customFormat="1" x14ac:dyDescent="0.25">
      <c r="A426" s="18"/>
    </row>
    <row r="427" spans="1:1" s="7" customFormat="1" x14ac:dyDescent="0.25">
      <c r="A427" s="18"/>
    </row>
    <row r="428" spans="1:1" s="7" customFormat="1" x14ac:dyDescent="0.25">
      <c r="A428" s="18"/>
    </row>
    <row r="429" spans="1:1" s="7" customFormat="1" x14ac:dyDescent="0.25">
      <c r="A429" s="18"/>
    </row>
    <row r="430" spans="1:1" s="7" customFormat="1" x14ac:dyDescent="0.25">
      <c r="A430" s="18"/>
    </row>
    <row r="431" spans="1:1" s="7" customFormat="1" x14ac:dyDescent="0.25">
      <c r="A431" s="18"/>
    </row>
    <row r="432" spans="1:1" s="7" customFormat="1" x14ac:dyDescent="0.25">
      <c r="A432" s="18"/>
    </row>
    <row r="433" spans="1:1" s="7" customFormat="1" x14ac:dyDescent="0.25">
      <c r="A433" s="18"/>
    </row>
    <row r="434" spans="1:1" s="7" customFormat="1" x14ac:dyDescent="0.25">
      <c r="A434" s="18"/>
    </row>
    <row r="435" spans="1:1" s="7" customFormat="1" x14ac:dyDescent="0.25">
      <c r="A435" s="18"/>
    </row>
    <row r="436" spans="1:1" s="7" customFormat="1" x14ac:dyDescent="0.25">
      <c r="A436" s="18"/>
    </row>
    <row r="437" spans="1:1" s="7" customFormat="1" x14ac:dyDescent="0.25">
      <c r="A437" s="18"/>
    </row>
    <row r="438" spans="1:1" s="7" customFormat="1" x14ac:dyDescent="0.25">
      <c r="A438" s="18"/>
    </row>
    <row r="439" spans="1:1" s="7" customFormat="1" x14ac:dyDescent="0.25">
      <c r="A439" s="18"/>
    </row>
    <row r="440" spans="1:1" s="7" customFormat="1" x14ac:dyDescent="0.25">
      <c r="A440" s="18"/>
    </row>
    <row r="441" spans="1:1" s="7" customFormat="1" x14ac:dyDescent="0.25">
      <c r="A441" s="18"/>
    </row>
    <row r="442" spans="1:1" s="7" customFormat="1" x14ac:dyDescent="0.25">
      <c r="A442" s="18"/>
    </row>
    <row r="443" spans="1:1" s="7" customFormat="1" x14ac:dyDescent="0.25">
      <c r="A443" s="18"/>
    </row>
    <row r="444" spans="1:1" s="7" customFormat="1" x14ac:dyDescent="0.25">
      <c r="A444" s="18"/>
    </row>
    <row r="445" spans="1:1" s="7" customFormat="1" x14ac:dyDescent="0.25">
      <c r="A445" s="18"/>
    </row>
    <row r="446" spans="1:1" s="7" customFormat="1" x14ac:dyDescent="0.25">
      <c r="A446" s="18"/>
    </row>
    <row r="447" spans="1:1" s="7" customFormat="1" x14ac:dyDescent="0.25">
      <c r="A447" s="18"/>
    </row>
    <row r="448" spans="1:1" s="7" customFormat="1" x14ac:dyDescent="0.25">
      <c r="A448" s="18"/>
    </row>
    <row r="449" spans="1:1" s="7" customFormat="1" x14ac:dyDescent="0.25">
      <c r="A449" s="18"/>
    </row>
    <row r="450" spans="1:1" s="7" customFormat="1" x14ac:dyDescent="0.25">
      <c r="A450" s="18"/>
    </row>
    <row r="451" spans="1:1" s="7" customFormat="1" x14ac:dyDescent="0.25">
      <c r="A451" s="18"/>
    </row>
    <row r="452" spans="1:1" s="7" customFormat="1" x14ac:dyDescent="0.25">
      <c r="A452" s="18"/>
    </row>
    <row r="453" spans="1:1" s="7" customFormat="1" x14ac:dyDescent="0.25">
      <c r="A453" s="18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Leticia Sell</cp:lastModifiedBy>
  <dcterms:created xsi:type="dcterms:W3CDTF">2024-12-19T13:13:10Z</dcterms:created>
  <dcterms:modified xsi:type="dcterms:W3CDTF">2026-01-15T04:08:02Z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